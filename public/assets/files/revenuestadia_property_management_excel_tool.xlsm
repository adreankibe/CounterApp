
<file path=[Content_Types].xml><?xml version="1.0" encoding="utf-8"?>
<Types xmlns="http://schemas.openxmlformats.org/package/2006/content-types">
  <Default Extension="bin" ContentType="application/vnd.openxmlformats-officedocument.spreadsheetml.printerSettings"/>
  <Default Extension="jfif" ContentType="image/jpeg"/>
  <Default Extension="jpeg" ContentType="image/jpeg"/>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imelineCaches/timelineCache1.xml" ContentType="application/vnd.ms-excel.timelineCache+xml"/>
  <Override PartName="/xl/timelineCaches/timelineCache2.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pivotTables/pivotTable1.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05" codeName="{00000000-0000-0000-0000-000000000000}"/>
  <workbookPr codeName="ThisWorkbook" hidePivotFieldList="1"/>
  <mc:AlternateContent xmlns:mc="http://schemas.openxmlformats.org/markup-compatibility/2006">
    <mc:Choice Requires="x15">
      <x15ac:absPath xmlns:x15ac="http://schemas.microsoft.com/office/spreadsheetml/2010/11/ac" url="https://centumbusiness-my.sharepoint.com/personal/v_nanjala_centum_co_ke/Documents/Desktop/Work/Excel applications/"/>
    </mc:Choice>
  </mc:AlternateContent>
  <xr:revisionPtr revIDLastSave="0" documentId="8_{0C3A0E4A-1EA8-450D-B9D4-E11F18B24041}" xr6:coauthVersionLast="47" xr6:coauthVersionMax="47" xr10:uidLastSave="{00000000-0000-0000-0000-000000000000}"/>
  <bookViews>
    <workbookView xWindow="-120" yWindow="-120" windowWidth="20730" windowHeight="11160" tabRatio="1000" xr2:uid="{358D9B6B-4A13-459E-8219-C0878A91F62F}"/>
  </bookViews>
  <sheets>
    <sheet name="Home" sheetId="19" r:id="rId1"/>
    <sheet name="Dashboard" sheetId="6" state="hidden" r:id="rId2"/>
    <sheet name="Dashboard2" sheetId="17" r:id="rId3"/>
    <sheet name="Properties" sheetId="2" r:id="rId4"/>
    <sheet name="Units&amp;Tenants " sheetId="3" r:id="rId5"/>
    <sheet name="Transactions" sheetId="4" r:id="rId6"/>
    <sheet name="Alerts&amp;reminders" sheetId="5" r:id="rId7"/>
    <sheet name="PropDB" sheetId="12" r:id="rId8"/>
    <sheet name="UnitsDB" sheetId="13" r:id="rId9"/>
    <sheet name="TransDB" sheetId="14" r:id="rId10"/>
    <sheet name="AlertsDB" sheetId="15" r:id="rId11"/>
    <sheet name="baseline" sheetId="16" state="hidden" r:id="rId12"/>
    <sheet name="AttachDB" sheetId="11" state="hidden" r:id="rId13"/>
  </sheets>
  <externalReferences>
    <externalReference r:id="rId14"/>
    <externalReference r:id="rId15"/>
  </externalReferences>
  <definedNames>
    <definedName name="_xlnm._FilterDatabase" localSheetId="12" hidden="1">AttachDB!$A$2:$E$4</definedName>
    <definedName name="_xlnm._FilterDatabase" localSheetId="8" hidden="1">UnitsDB!$A$3:$D$4</definedName>
    <definedName name="Alert_ID" localSheetId="0">OFFSET([1]AlertsDB!$A$3,1,,COUNTA([1]AlertsDB!$A$3:$A$9998)-1,1)</definedName>
    <definedName name="Alert_ID">OFFSET(#REF!,1,,COUNTA(#REF!)-1,1)</definedName>
    <definedName name="Alerts_Name">OFFSET(#REF!,1,,COUNTA(#REF!)-1,1)</definedName>
    <definedName name="Attach_ID" localSheetId="0">OFFSET([1]AttachDB!$A$2,1,,COUNTA([1]AttachDB!$A$2:$A$9999)-1,1)</definedName>
    <definedName name="Attach_ID">OFFSET(AttachDB!$A$1,1,,COUNTA(AttachDB!$A$1:$B$99999)-1,1)</definedName>
    <definedName name="_xlnm.Criteria" localSheetId="12">AttachDB!$K$2:$K$3</definedName>
    <definedName name="_xlnm.Criteria" localSheetId="8">UnitsDB!$O$3</definedName>
    <definedName name="ExistGrp">"Rectangle: Rounded Corners 24,Rectangle: Rounded Corners 23,Rectangle: Rounded Corners 7"</definedName>
    <definedName name="NativeTimeline_Date">#N/A</definedName>
    <definedName name="NativeTimeline_Date1">#N/A</definedName>
    <definedName name="NewGrp">"Rectangle: Rounded Corners 1,save"</definedName>
    <definedName name="Prop_ID" localSheetId="0">OFFSET([1]PropDB!$A$3,1,,COUNTA([1]PropDB!$A$3:$A$9998)-1,1)</definedName>
    <definedName name="Prop_ID">OFFSET(PropDB!$A$3,1,,COUNTA(PropDB!$A$3:$A$99996)-1,1)</definedName>
    <definedName name="Prop_Name" localSheetId="0">OFFSET([1]PropDB!$B$3,1,,COUNTA([1]PropDB!$A$3:$A$9998)-1,1)</definedName>
    <definedName name="Prop_Name">OFFSET([2]PropDB!$B$3,1,,COUNTA([2]PropDB!$A$3:$A$9998)-1,1)</definedName>
    <definedName name="Property_Name">OFFSET(PropDB!$B$3,1,,COUNTA(PropDB!$A$3:$A$9996)-1,1)</definedName>
    <definedName name="Slicer_Prop_Name">#N/A</definedName>
    <definedName name="Slicer_Prop_Name1">#N/A</definedName>
    <definedName name="Slicer_Type">#N/A</definedName>
    <definedName name="Tenant_Name">OFFSET(#REF!,1,,COUNTA(#REF!),1)</definedName>
    <definedName name="Trans_ID" localSheetId="0">OFFSET([1]TransDB!$A$3,1,,COUNTA([1]TransDB!$A$3:$A$9998)-1,1)</definedName>
    <definedName name="Trans_Id">OFFSET(TransDB!$A$3,1,,COUNTA(TransDB!$A$3:$A$99997)-1,1)</definedName>
    <definedName name="Trans_Name">OFFSET(#REF!,1,,COUNTA(#REF!)-1,1)</definedName>
    <definedName name="Unit_ID" localSheetId="0">OFFSET([1]UnitsDB!$A$3,1,,COUNTA([1]UnitsDB!$A$3:$A$9999)-1,1)</definedName>
    <definedName name="Unit_ID">OFFSET(UnitsDB!$A$3,1,,COUNTA(UnitsDB!$A$3:$A$99997)-1,1)</definedName>
    <definedName name="UnitNames">OFFSET([1]UnitsDB!$R$2,1,,COUNTA([1]UnitsDB!$R$2:$R$999)-1,1)</definedName>
    <definedName name="Units_Name">OFFSET(#REF!,1,,COUNTA(#REF!)-1,1)</definedName>
  </definedNames>
  <calcPr calcId="191028"/>
  <pivotCaches>
    <pivotCache cacheId="2390" r:id="rId16"/>
    <pivotCache cacheId="2391" r:id="rId17"/>
    <pivotCache cacheId="2392" r:id="rId18"/>
    <pivotCache cacheId="2393" r:id="rId19"/>
  </pivotCaches>
  <fileRecoveryPr autoRecover="0"/>
  <extLst>
    <ext xmlns:x14="http://schemas.microsoft.com/office/spreadsheetml/2009/9/main" uri="{BBE1A952-AA13-448e-AADC-164F8A28A991}">
      <x14:slicerCaches>
        <x14:slicerCache r:id="rId20"/>
        <x14:slicerCache r:id="rId21"/>
        <x14:slicerCache r:id="rId22"/>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23"/>
        <x15:timelineCacheRef r:id="rId24"/>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5" i="2" l="1"/>
  <c r="D11" i="12"/>
  <c r="G11" i="12"/>
  <c r="J11" i="12"/>
  <c r="D12" i="12"/>
  <c r="G12" i="12"/>
  <c r="J12" i="12"/>
  <c r="D15" i="12"/>
  <c r="G15" i="12"/>
  <c r="J15" i="12"/>
  <c r="D16" i="12"/>
  <c r="G16" i="12"/>
  <c r="J16" i="12"/>
  <c r="D17" i="12"/>
  <c r="G17" i="12"/>
  <c r="J17" i="12"/>
  <c r="D18" i="12"/>
  <c r="G18" i="12"/>
  <c r="J18" i="12"/>
  <c r="D19" i="12"/>
  <c r="G19" i="12"/>
  <c r="J19" i="12"/>
  <c r="D20" i="12"/>
  <c r="G20" i="12"/>
  <c r="J20" i="12"/>
  <c r="D21" i="12"/>
  <c r="G21" i="12"/>
  <c r="J21" i="12"/>
  <c r="D22" i="12"/>
  <c r="G22" i="12"/>
  <c r="J22" i="12"/>
  <c r="D23" i="12"/>
  <c r="G23" i="12"/>
  <c r="J23" i="12"/>
  <c r="D24" i="12"/>
  <c r="G24" i="12"/>
  <c r="J24" i="12"/>
  <c r="D25" i="12"/>
  <c r="G25" i="12"/>
  <c r="J25" i="12"/>
  <c r="D26" i="12"/>
  <c r="G26" i="12"/>
  <c r="J26" i="12"/>
  <c r="D27" i="12"/>
  <c r="G27" i="12"/>
  <c r="J27" i="12"/>
  <c r="D28" i="12"/>
  <c r="G28" i="12"/>
  <c r="J28" i="12"/>
  <c r="D29" i="12"/>
  <c r="G29" i="12"/>
  <c r="J29" i="12"/>
  <c r="D30" i="12"/>
  <c r="G30" i="12"/>
  <c r="J30" i="12"/>
  <c r="D31" i="12"/>
  <c r="G31" i="12"/>
  <c r="J31" i="12"/>
  <c r="D32" i="12"/>
  <c r="G32" i="12"/>
  <c r="J32" i="12"/>
  <c r="D33" i="12"/>
  <c r="G33" i="12"/>
  <c r="J33" i="12"/>
  <c r="D34" i="12"/>
  <c r="G34" i="12"/>
  <c r="J34" i="12"/>
  <c r="D35" i="12"/>
  <c r="G35" i="12"/>
  <c r="J35" i="12"/>
  <c r="D36" i="12"/>
  <c r="G36" i="12"/>
  <c r="J36" i="12"/>
  <c r="D37" i="12"/>
  <c r="G37" i="12"/>
  <c r="J37" i="12"/>
  <c r="D38" i="12"/>
  <c r="G38" i="12"/>
  <c r="J38" i="12"/>
  <c r="D39" i="12"/>
  <c r="G39" i="12"/>
  <c r="J39" i="12"/>
  <c r="D40" i="12"/>
  <c r="G40" i="12"/>
  <c r="J40" i="12"/>
  <c r="D41" i="12"/>
  <c r="G41" i="12"/>
  <c r="J41" i="12"/>
  <c r="D42" i="12"/>
  <c r="G42" i="12"/>
  <c r="J42" i="12"/>
  <c r="D43" i="12"/>
  <c r="G43" i="12"/>
  <c r="J43" i="12"/>
  <c r="D44" i="12"/>
  <c r="G44" i="12"/>
  <c r="J44" i="12"/>
  <c r="D45" i="12"/>
  <c r="G45" i="12"/>
  <c r="J45" i="12"/>
  <c r="D46" i="12"/>
  <c r="G46" i="12"/>
  <c r="J46" i="12"/>
  <c r="D47" i="12"/>
  <c r="G47" i="12"/>
  <c r="J47" i="12"/>
  <c r="D48" i="12"/>
  <c r="G48" i="12"/>
  <c r="J48" i="12"/>
  <c r="D49" i="12"/>
  <c r="G49" i="12"/>
  <c r="J49" i="12"/>
  <c r="D50" i="12"/>
  <c r="G50" i="12"/>
  <c r="J50" i="12"/>
  <c r="D51" i="12"/>
  <c r="G51" i="12"/>
  <c r="J51" i="12"/>
  <c r="D52" i="12"/>
  <c r="G52" i="12"/>
  <c r="J52" i="12"/>
  <c r="D53" i="12"/>
  <c r="G53" i="12"/>
  <c r="J53" i="12"/>
  <c r="D54" i="12"/>
  <c r="G54" i="12"/>
  <c r="J54" i="12"/>
  <c r="D55" i="12"/>
  <c r="G55" i="12"/>
  <c r="J55" i="12"/>
  <c r="D56" i="12"/>
  <c r="G56" i="12"/>
  <c r="J56" i="12"/>
  <c r="D57" i="12"/>
  <c r="G57" i="12"/>
  <c r="J57" i="12"/>
  <c r="D58" i="12"/>
  <c r="G58" i="12"/>
  <c r="J58" i="12"/>
  <c r="D59" i="12"/>
  <c r="G59" i="12"/>
  <c r="J59" i="12"/>
  <c r="D60" i="12"/>
  <c r="G60" i="12"/>
  <c r="J60" i="12"/>
  <c r="D61" i="12"/>
  <c r="G61" i="12"/>
  <c r="J61" i="12"/>
  <c r="D62" i="12"/>
  <c r="G62" i="12"/>
  <c r="J62" i="12"/>
  <c r="D63" i="12"/>
  <c r="G63" i="12"/>
  <c r="J63" i="12"/>
  <c r="D64" i="12"/>
  <c r="G64" i="12"/>
  <c r="J64" i="12"/>
  <c r="D65" i="12"/>
  <c r="G65" i="12"/>
  <c r="J65" i="12"/>
  <c r="D66" i="12"/>
  <c r="G66" i="12"/>
  <c r="J66" i="12"/>
  <c r="D67" i="12"/>
  <c r="G67" i="12"/>
  <c r="J67" i="12"/>
  <c r="D68" i="12"/>
  <c r="G68" i="12"/>
  <c r="J68" i="12"/>
  <c r="D69" i="12"/>
  <c r="G69" i="12"/>
  <c r="J69" i="12"/>
  <c r="D70" i="12"/>
  <c r="G70" i="12"/>
  <c r="J70" i="12"/>
  <c r="D71" i="12"/>
  <c r="G71" i="12"/>
  <c r="J71" i="12"/>
  <c r="D72" i="12"/>
  <c r="G72" i="12"/>
  <c r="J72" i="12"/>
  <c r="D73" i="12"/>
  <c r="G73" i="12"/>
  <c r="J73" i="12"/>
  <c r="D74" i="12"/>
  <c r="G74" i="12"/>
  <c r="J74" i="12"/>
  <c r="D75" i="12"/>
  <c r="G75" i="12"/>
  <c r="J75" i="12"/>
  <c r="D76" i="12"/>
  <c r="G76" i="12"/>
  <c r="J76" i="12"/>
  <c r="D77" i="12"/>
  <c r="G77" i="12"/>
  <c r="J77" i="12"/>
  <c r="D78" i="12"/>
  <c r="G78" i="12"/>
  <c r="J78" i="12"/>
  <c r="O30" i="17"/>
  <c r="O29" i="17"/>
  <c r="O28" i="17"/>
  <c r="O27" i="17"/>
  <c r="O23" i="17"/>
  <c r="O22" i="17"/>
  <c r="O25" i="17"/>
  <c r="I5" i="14" l="1"/>
  <c r="I6" i="14"/>
  <c r="I7" i="14"/>
  <c r="I8" i="14"/>
  <c r="I9" i="14"/>
  <c r="I10" i="14"/>
  <c r="I11" i="14"/>
  <c r="I12" i="14"/>
  <c r="I13" i="14"/>
  <c r="I14" i="14"/>
  <c r="I15" i="14"/>
  <c r="I16" i="14"/>
  <c r="I17" i="14"/>
  <c r="I18" i="14"/>
  <c r="I19" i="14"/>
  <c r="I20" i="14"/>
  <c r="I21" i="14"/>
  <c r="I22" i="14"/>
  <c r="I23" i="14"/>
  <c r="I24" i="14"/>
  <c r="I25" i="14"/>
  <c r="I26" i="14"/>
  <c r="I27" i="14"/>
  <c r="I28" i="14"/>
  <c r="I29" i="14"/>
  <c r="I30" i="14"/>
  <c r="I31" i="14"/>
  <c r="I32" i="14"/>
  <c r="I33" i="14"/>
  <c r="I34" i="14"/>
  <c r="I35" i="14"/>
  <c r="I36" i="14"/>
  <c r="I37" i="14"/>
  <c r="I38" i="14"/>
  <c r="I39" i="14"/>
  <c r="I40" i="14"/>
  <c r="I41" i="14"/>
  <c r="I42" i="14"/>
  <c r="I43" i="14"/>
  <c r="I44" i="14"/>
  <c r="I45" i="14"/>
  <c r="I46" i="14"/>
  <c r="I47" i="14"/>
  <c r="I48" i="14"/>
  <c r="I49" i="14"/>
  <c r="I50" i="14"/>
  <c r="I51" i="14"/>
  <c r="I52" i="14"/>
  <c r="I53" i="14"/>
  <c r="I54" i="14"/>
  <c r="I55" i="14"/>
  <c r="I56" i="14"/>
  <c r="I57" i="14"/>
  <c r="I58" i="14"/>
  <c r="I59" i="14"/>
  <c r="I60" i="14"/>
  <c r="I61" i="14"/>
  <c r="I62" i="14"/>
  <c r="I63" i="14"/>
  <c r="I64" i="14"/>
  <c r="I65" i="14"/>
  <c r="I66" i="14"/>
  <c r="I67" i="14"/>
  <c r="I68" i="14"/>
  <c r="I69" i="14"/>
  <c r="I70" i="14"/>
  <c r="I71" i="14"/>
  <c r="I72" i="14"/>
  <c r="I73" i="14"/>
  <c r="I74" i="14"/>
  <c r="I75" i="14"/>
  <c r="I76" i="14"/>
  <c r="I77" i="14"/>
  <c r="I78" i="14"/>
  <c r="I79" i="14"/>
  <c r="I80" i="14"/>
  <c r="I81" i="14"/>
  <c r="I82" i="14"/>
  <c r="I83" i="14"/>
  <c r="I84" i="14"/>
  <c r="I85" i="14"/>
  <c r="I86" i="14"/>
  <c r="I87" i="14"/>
  <c r="I88" i="14"/>
  <c r="I89" i="14"/>
  <c r="I90" i="14"/>
  <c r="I91" i="14"/>
  <c r="I92" i="14"/>
  <c r="I93" i="14"/>
  <c r="I94" i="14"/>
  <c r="I95" i="14"/>
  <c r="I96" i="14"/>
  <c r="I97" i="14"/>
  <c r="I98" i="14"/>
  <c r="I99" i="14"/>
  <c r="I100" i="14"/>
  <c r="I101" i="14"/>
  <c r="I102" i="14"/>
  <c r="I103" i="14"/>
  <c r="I104" i="14"/>
  <c r="I105" i="14"/>
  <c r="I106" i="14"/>
  <c r="I107" i="14"/>
  <c r="I108" i="14"/>
  <c r="I109" i="14"/>
  <c r="I110" i="14"/>
  <c r="I111" i="14"/>
  <c r="I112" i="14"/>
  <c r="I113" i="14"/>
  <c r="I114" i="14"/>
  <c r="I115" i="14"/>
  <c r="I116" i="14"/>
  <c r="I117" i="14"/>
  <c r="I118" i="14"/>
  <c r="I119" i="14"/>
  <c r="I120" i="14"/>
  <c r="I121" i="14"/>
  <c r="I122" i="14"/>
  <c r="I123" i="14"/>
  <c r="I124" i="14"/>
  <c r="I125" i="14"/>
  <c r="I126" i="14"/>
  <c r="I127" i="14"/>
  <c r="I128" i="14"/>
  <c r="I129" i="14"/>
  <c r="I130" i="14"/>
  <c r="I131" i="14"/>
  <c r="I132" i="14"/>
  <c r="I133" i="14"/>
  <c r="I134" i="14"/>
  <c r="I135" i="14"/>
  <c r="I136" i="14"/>
  <c r="I137" i="14"/>
  <c r="I138" i="14"/>
  <c r="I139" i="14"/>
  <c r="I140" i="14"/>
  <c r="I141" i="14"/>
  <c r="I142" i="14"/>
  <c r="I143" i="14"/>
  <c r="I144" i="14"/>
  <c r="I145" i="14"/>
  <c r="I146" i="14"/>
  <c r="I147" i="14"/>
  <c r="I148" i="14"/>
  <c r="I149" i="14"/>
  <c r="I150" i="14"/>
  <c r="I151" i="14"/>
  <c r="I152" i="14"/>
  <c r="I153" i="14"/>
  <c r="I154" i="14"/>
  <c r="I155" i="14"/>
  <c r="I156" i="14"/>
  <c r="I157" i="14"/>
  <c r="I158" i="14"/>
  <c r="I159" i="14"/>
  <c r="I160" i="14"/>
  <c r="I161" i="14"/>
  <c r="I162" i="14"/>
  <c r="I163" i="14"/>
  <c r="I164" i="14"/>
  <c r="I165" i="14"/>
  <c r="I166" i="14"/>
  <c r="I167" i="14"/>
  <c r="I168" i="14"/>
  <c r="I169" i="14"/>
  <c r="D5" i="12"/>
  <c r="G5" i="12"/>
  <c r="J5" i="12"/>
  <c r="D6" i="12"/>
  <c r="G6" i="12"/>
  <c r="J6" i="12"/>
  <c r="D7" i="12"/>
  <c r="G7" i="12"/>
  <c r="J7" i="12"/>
  <c r="D8" i="12"/>
  <c r="G8" i="12"/>
  <c r="J8" i="12"/>
  <c r="D9" i="12"/>
  <c r="G9" i="12"/>
  <c r="J9" i="12"/>
  <c r="D10" i="12"/>
  <c r="G10" i="12"/>
  <c r="J10" i="12"/>
  <c r="D5" i="15"/>
  <c r="D6" i="15"/>
  <c r="D7" i="15"/>
  <c r="D8" i="15"/>
  <c r="D9" i="15"/>
  <c r="D10" i="15"/>
  <c r="D11" i="15"/>
  <c r="D12" i="15"/>
  <c r="D13" i="15"/>
  <c r="D14" i="15"/>
  <c r="D15" i="15"/>
  <c r="D16" i="15"/>
  <c r="D17" i="15"/>
  <c r="D18" i="15"/>
  <c r="D19" i="15"/>
  <c r="D20" i="15"/>
  <c r="D21" i="15"/>
  <c r="D22" i="15"/>
  <c r="D23" i="15"/>
  <c r="D24" i="15"/>
  <c r="D25" i="15"/>
  <c r="D26" i="15"/>
  <c r="D27" i="15"/>
  <c r="D28" i="15"/>
  <c r="D29" i="15"/>
  <c r="D30" i="15"/>
  <c r="D31" i="15"/>
  <c r="D32" i="15"/>
  <c r="D33" i="15"/>
  <c r="D34" i="15"/>
  <c r="D35" i="15"/>
  <c r="D36" i="15"/>
  <c r="D37" i="15"/>
  <c r="D38" i="15"/>
  <c r="D39" i="15"/>
  <c r="D40" i="15"/>
  <c r="D41" i="15"/>
  <c r="D42" i="15"/>
  <c r="D43" i="15"/>
  <c r="D44" i="15"/>
  <c r="D45" i="15"/>
  <c r="D46" i="15"/>
  <c r="D47" i="15"/>
  <c r="D48" i="15"/>
  <c r="D49" i="15"/>
  <c r="D50" i="15"/>
  <c r="D51" i="15"/>
  <c r="D52" i="15"/>
  <c r="D53" i="15"/>
  <c r="D54" i="15"/>
  <c r="D55" i="15"/>
  <c r="D56" i="15"/>
  <c r="D57" i="15"/>
  <c r="D58" i="15"/>
  <c r="D59" i="15"/>
  <c r="D60" i="15"/>
  <c r="D61" i="15"/>
  <c r="D62" i="15"/>
  <c r="D63" i="15"/>
  <c r="D64" i="15"/>
  <c r="D65" i="15"/>
  <c r="D66" i="15"/>
  <c r="D67" i="15"/>
  <c r="D68" i="15"/>
  <c r="D69" i="15"/>
  <c r="D70" i="15"/>
  <c r="D71" i="15"/>
  <c r="D72" i="15"/>
  <c r="D73" i="15"/>
  <c r="D74" i="15"/>
  <c r="D75" i="15"/>
  <c r="D76" i="15"/>
  <c r="D77" i="15"/>
  <c r="D78" i="15"/>
  <c r="D79" i="15"/>
  <c r="D80" i="15"/>
  <c r="D81" i="15"/>
  <c r="D82" i="15"/>
  <c r="D83" i="15"/>
  <c r="D84" i="15"/>
  <c r="D85" i="15"/>
  <c r="D86" i="15"/>
  <c r="D87" i="15"/>
  <c r="D88" i="15"/>
  <c r="D89" i="15"/>
  <c r="D90" i="15"/>
  <c r="D91" i="15"/>
  <c r="D92" i="15"/>
  <c r="D93" i="15"/>
  <c r="D94" i="15"/>
  <c r="D95" i="15"/>
  <c r="D96" i="15"/>
  <c r="D97" i="15"/>
  <c r="D98" i="15"/>
  <c r="D99" i="15"/>
  <c r="D100" i="15"/>
  <c r="D101" i="15"/>
  <c r="D102" i="15"/>
  <c r="D103" i="15"/>
  <c r="D4" i="15"/>
  <c r="C4" i="15"/>
  <c r="C5" i="15"/>
  <c r="C6" i="15"/>
  <c r="C7" i="15"/>
  <c r="C8" i="15"/>
  <c r="C9" i="15"/>
  <c r="C10" i="15"/>
  <c r="C11" i="15"/>
  <c r="C12" i="15"/>
  <c r="C13" i="15"/>
  <c r="C14" i="15"/>
  <c r="C15" i="15"/>
  <c r="C16" i="15"/>
  <c r="C17" i="15"/>
  <c r="C18" i="15"/>
  <c r="C19" i="15"/>
  <c r="C20" i="15"/>
  <c r="C21" i="15"/>
  <c r="C22" i="15"/>
  <c r="C23" i="15"/>
  <c r="C24" i="15"/>
  <c r="C25" i="15"/>
  <c r="C26" i="15"/>
  <c r="C27" i="15"/>
  <c r="C28" i="15"/>
  <c r="C29" i="15"/>
  <c r="C30" i="15"/>
  <c r="C31" i="15"/>
  <c r="C32" i="15"/>
  <c r="C33" i="15"/>
  <c r="C34" i="15"/>
  <c r="C35" i="15"/>
  <c r="C36" i="15"/>
  <c r="C37" i="15"/>
  <c r="C38" i="15"/>
  <c r="C39" i="15"/>
  <c r="C40" i="15"/>
  <c r="C41" i="15"/>
  <c r="C42" i="15"/>
  <c r="C43" i="15"/>
  <c r="C44" i="15"/>
  <c r="C45" i="15"/>
  <c r="C46" i="15"/>
  <c r="C47" i="15"/>
  <c r="C48" i="15"/>
  <c r="C49" i="15"/>
  <c r="C50" i="15"/>
  <c r="C51" i="15"/>
  <c r="C52" i="15"/>
  <c r="C53" i="15"/>
  <c r="C54" i="15"/>
  <c r="C55" i="15"/>
  <c r="C56" i="15"/>
  <c r="C57" i="15"/>
  <c r="C58" i="15"/>
  <c r="C59" i="15"/>
  <c r="C60" i="15"/>
  <c r="C61" i="15"/>
  <c r="C62" i="15"/>
  <c r="C63" i="15"/>
  <c r="C64" i="15"/>
  <c r="C65" i="15"/>
  <c r="C66" i="15"/>
  <c r="C67" i="15"/>
  <c r="C68" i="15"/>
  <c r="C69" i="15"/>
  <c r="C70" i="15"/>
  <c r="C71" i="15"/>
  <c r="C72" i="15"/>
  <c r="C73" i="15"/>
  <c r="C74" i="15"/>
  <c r="C75" i="15"/>
  <c r="C76" i="15"/>
  <c r="C77" i="15"/>
  <c r="C78" i="15"/>
  <c r="C79" i="15"/>
  <c r="C80" i="15"/>
  <c r="C81" i="15"/>
  <c r="C82" i="15"/>
  <c r="C83" i="15"/>
  <c r="C84" i="15"/>
  <c r="C85" i="15"/>
  <c r="C86" i="15"/>
  <c r="C87" i="15"/>
  <c r="C88" i="15"/>
  <c r="C89" i="15"/>
  <c r="C90" i="15"/>
  <c r="C91" i="15"/>
  <c r="C92" i="15"/>
  <c r="C93" i="15"/>
  <c r="C94" i="15"/>
  <c r="C95" i="15"/>
  <c r="C96" i="15"/>
  <c r="C97" i="15"/>
  <c r="C98" i="15"/>
  <c r="C99" i="15"/>
  <c r="C100" i="15"/>
  <c r="C101" i="15"/>
  <c r="C102" i="15"/>
  <c r="C103" i="15"/>
  <c r="I4" i="14"/>
  <c r="D5" i="14"/>
  <c r="D6" i="14"/>
  <c r="D7" i="14"/>
  <c r="D8" i="14"/>
  <c r="D9" i="14"/>
  <c r="D10" i="14"/>
  <c r="D11" i="14"/>
  <c r="D12" i="14"/>
  <c r="D13" i="14"/>
  <c r="D14" i="14"/>
  <c r="D15" i="14"/>
  <c r="D16" i="14"/>
  <c r="D17" i="14"/>
  <c r="D18" i="14"/>
  <c r="D19" i="14"/>
  <c r="D20" i="14"/>
  <c r="D21" i="14"/>
  <c r="D22" i="14"/>
  <c r="D23" i="14"/>
  <c r="D24" i="14"/>
  <c r="D25" i="14"/>
  <c r="D26" i="14"/>
  <c r="D27" i="14"/>
  <c r="D28" i="14"/>
  <c r="D29" i="14"/>
  <c r="D30" i="14"/>
  <c r="D31" i="14"/>
  <c r="D32" i="14"/>
  <c r="D33" i="14"/>
  <c r="D34" i="14"/>
  <c r="D35" i="14"/>
  <c r="D36" i="14"/>
  <c r="D37" i="14"/>
  <c r="D38" i="14"/>
  <c r="D39" i="14"/>
  <c r="D40" i="14"/>
  <c r="D41" i="14"/>
  <c r="D42" i="14"/>
  <c r="D43" i="14"/>
  <c r="D44" i="14"/>
  <c r="D45" i="14"/>
  <c r="D46" i="14"/>
  <c r="D47" i="14"/>
  <c r="D48" i="14"/>
  <c r="D49" i="14"/>
  <c r="D50" i="14"/>
  <c r="D51" i="14"/>
  <c r="D52" i="14"/>
  <c r="D53" i="14"/>
  <c r="D54" i="14"/>
  <c r="D55" i="14"/>
  <c r="D56" i="14"/>
  <c r="D57" i="14"/>
  <c r="D58" i="14"/>
  <c r="D59" i="14"/>
  <c r="D60" i="14"/>
  <c r="D61" i="14"/>
  <c r="D62" i="14"/>
  <c r="D63" i="14"/>
  <c r="D64" i="14"/>
  <c r="D65" i="14"/>
  <c r="D66" i="14"/>
  <c r="D67" i="14"/>
  <c r="D68" i="14"/>
  <c r="D69" i="14"/>
  <c r="D70" i="14"/>
  <c r="D71" i="14"/>
  <c r="D72" i="14"/>
  <c r="D73" i="14"/>
  <c r="D74" i="14"/>
  <c r="D75" i="14"/>
  <c r="D76" i="14"/>
  <c r="D77" i="14"/>
  <c r="D78" i="14"/>
  <c r="D79" i="14"/>
  <c r="D80" i="14"/>
  <c r="D81" i="14"/>
  <c r="D82" i="14"/>
  <c r="D83" i="14"/>
  <c r="D84" i="14"/>
  <c r="D85" i="14"/>
  <c r="D86" i="14"/>
  <c r="D87" i="14"/>
  <c r="D88" i="14"/>
  <c r="D89" i="14"/>
  <c r="D90" i="14"/>
  <c r="D91" i="14"/>
  <c r="D92" i="14"/>
  <c r="D93" i="14"/>
  <c r="D94" i="14"/>
  <c r="D95" i="14"/>
  <c r="D96" i="14"/>
  <c r="D97" i="14"/>
  <c r="D98" i="14"/>
  <c r="D99" i="14"/>
  <c r="D100" i="14"/>
  <c r="D101" i="14"/>
  <c r="D102" i="14"/>
  <c r="D103" i="14"/>
  <c r="D104" i="14"/>
  <c r="D105" i="14"/>
  <c r="D106" i="14"/>
  <c r="D107" i="14"/>
  <c r="D108" i="14"/>
  <c r="D109" i="14"/>
  <c r="D110" i="14"/>
  <c r="D111" i="14"/>
  <c r="D112" i="14"/>
  <c r="D113" i="14"/>
  <c r="D114" i="14"/>
  <c r="D115" i="14"/>
  <c r="D116" i="14"/>
  <c r="D117" i="14"/>
  <c r="D118" i="14"/>
  <c r="D119" i="14"/>
  <c r="D120" i="14"/>
  <c r="D121" i="14"/>
  <c r="D122" i="14"/>
  <c r="D123" i="14"/>
  <c r="D124" i="14"/>
  <c r="D125" i="14"/>
  <c r="D126" i="14"/>
  <c r="D127" i="14"/>
  <c r="D128" i="14"/>
  <c r="D129" i="14"/>
  <c r="D130" i="14"/>
  <c r="D131" i="14"/>
  <c r="D132" i="14"/>
  <c r="D133" i="14"/>
  <c r="D134" i="14"/>
  <c r="D135" i="14"/>
  <c r="D136" i="14"/>
  <c r="D137" i="14"/>
  <c r="D138" i="14"/>
  <c r="D139" i="14"/>
  <c r="D140" i="14"/>
  <c r="D141" i="14"/>
  <c r="D142" i="14"/>
  <c r="D143" i="14"/>
  <c r="D144" i="14"/>
  <c r="D145" i="14"/>
  <c r="D146" i="14"/>
  <c r="D147" i="14"/>
  <c r="D148" i="14"/>
  <c r="D149" i="14"/>
  <c r="D150" i="14"/>
  <c r="D151" i="14"/>
  <c r="D152" i="14"/>
  <c r="D153" i="14"/>
  <c r="D154" i="14"/>
  <c r="D155" i="14"/>
  <c r="D156" i="14"/>
  <c r="D157" i="14"/>
  <c r="D158" i="14"/>
  <c r="D159" i="14"/>
  <c r="D160" i="14"/>
  <c r="D161" i="14"/>
  <c r="D162" i="14"/>
  <c r="D163" i="14"/>
  <c r="D164" i="14"/>
  <c r="D165" i="14"/>
  <c r="D166" i="14"/>
  <c r="D167" i="14"/>
  <c r="D168" i="14"/>
  <c r="D169" i="14"/>
  <c r="D4" i="14"/>
  <c r="D4" i="13"/>
  <c r="D5" i="13"/>
  <c r="D6" i="13"/>
  <c r="D7" i="13"/>
  <c r="D8" i="13"/>
  <c r="D9" i="13"/>
  <c r="D10" i="13"/>
  <c r="D11" i="13"/>
  <c r="D12" i="13"/>
  <c r="D13" i="13"/>
  <c r="D14" i="13"/>
  <c r="D15" i="13"/>
  <c r="D16" i="13"/>
  <c r="D17" i="13"/>
  <c r="D18" i="13"/>
  <c r="D19" i="13"/>
  <c r="D20" i="13"/>
  <c r="D21" i="13"/>
  <c r="D22" i="13"/>
  <c r="D23" i="13"/>
  <c r="D24" i="13"/>
  <c r="D25" i="13"/>
  <c r="D26" i="13"/>
  <c r="D27" i="13"/>
  <c r="D28" i="13"/>
  <c r="D29" i="13"/>
  <c r="D30" i="13"/>
  <c r="D31" i="13"/>
  <c r="D32" i="13"/>
  <c r="D33" i="13"/>
  <c r="D34" i="13"/>
  <c r="D35" i="13"/>
  <c r="D36" i="13"/>
  <c r="D37" i="13"/>
  <c r="D38" i="13"/>
  <c r="D39" i="13"/>
  <c r="D40" i="13"/>
  <c r="D41" i="13"/>
  <c r="D42" i="13"/>
  <c r="D43" i="13"/>
  <c r="D44" i="13"/>
  <c r="D45" i="13"/>
  <c r="D46" i="13"/>
  <c r="D47" i="13"/>
  <c r="D48" i="13"/>
  <c r="D49" i="13"/>
  <c r="D50" i="13"/>
  <c r="D51" i="13"/>
  <c r="D52" i="13"/>
  <c r="D53" i="13"/>
  <c r="D54" i="13"/>
  <c r="D55" i="13"/>
  <c r="D56" i="13"/>
  <c r="D57" i="13"/>
  <c r="D58" i="13"/>
  <c r="D59" i="13"/>
  <c r="D60" i="13"/>
  <c r="D61" i="13"/>
  <c r="D62" i="13"/>
  <c r="D63" i="13"/>
  <c r="D64" i="13"/>
  <c r="D65" i="13"/>
  <c r="D66" i="13"/>
  <c r="D67" i="13"/>
  <c r="D68" i="13"/>
  <c r="D69" i="13"/>
  <c r="D70" i="13"/>
  <c r="D71" i="13"/>
  <c r="D72" i="13"/>
  <c r="D73" i="13"/>
  <c r="D74" i="13"/>
  <c r="D75" i="13"/>
  <c r="D76" i="13"/>
  <c r="D77" i="13"/>
  <c r="D78" i="13"/>
  <c r="D79" i="13"/>
  <c r="D80" i="13"/>
  <c r="D81" i="13"/>
  <c r="D82" i="13"/>
  <c r="D83" i="13"/>
  <c r="D84" i="13"/>
  <c r="D85" i="13"/>
  <c r="D86" i="13"/>
  <c r="D87" i="13"/>
  <c r="D88" i="13"/>
  <c r="D89" i="13"/>
  <c r="D90" i="13"/>
  <c r="D91" i="13"/>
  <c r="D92" i="13"/>
  <c r="D93" i="13"/>
  <c r="D94" i="13"/>
  <c r="D95" i="13"/>
  <c r="D96" i="13"/>
  <c r="D97" i="13"/>
  <c r="D98" i="13"/>
  <c r="D99" i="13"/>
  <c r="D100" i="13"/>
  <c r="D101" i="13"/>
  <c r="D102" i="13"/>
  <c r="D103" i="13"/>
  <c r="D104" i="13"/>
  <c r="D105" i="13"/>
  <c r="D106" i="13"/>
  <c r="D107" i="13"/>
  <c r="D108" i="13"/>
  <c r="D109" i="13"/>
  <c r="D110" i="13"/>
  <c r="D111" i="13"/>
  <c r="D112" i="13"/>
  <c r="D113" i="13"/>
  <c r="D114" i="13"/>
  <c r="D115" i="13"/>
  <c r="D116" i="13"/>
  <c r="D117" i="13"/>
  <c r="D118" i="13"/>
  <c r="D119" i="13"/>
  <c r="D120" i="13"/>
  <c r="D121" i="13"/>
  <c r="D122" i="13"/>
  <c r="D123" i="13"/>
  <c r="D124" i="13"/>
  <c r="D125" i="13"/>
  <c r="D126" i="13"/>
  <c r="D127" i="13"/>
  <c r="D128" i="13"/>
  <c r="D129" i="13"/>
  <c r="D130" i="13"/>
  <c r="D131" i="13"/>
  <c r="D132" i="13"/>
  <c r="D133" i="13"/>
  <c r="D134" i="13"/>
  <c r="D135" i="13"/>
  <c r="D136" i="13"/>
  <c r="D137" i="13"/>
  <c r="D138" i="13"/>
  <c r="D139" i="13"/>
  <c r="D140" i="13"/>
  <c r="D141" i="13"/>
  <c r="D142" i="13"/>
  <c r="D143" i="13"/>
  <c r="D144" i="13"/>
  <c r="D145" i="13"/>
  <c r="D146" i="13"/>
  <c r="D147" i="13"/>
  <c r="D148" i="13"/>
  <c r="D149" i="13"/>
  <c r="D150" i="13"/>
  <c r="H5" i="13"/>
  <c r="H6" i="13"/>
  <c r="H7" i="13"/>
  <c r="H8" i="13"/>
  <c r="H9" i="13"/>
  <c r="H10" i="13"/>
  <c r="H11" i="13"/>
  <c r="H12" i="13"/>
  <c r="H13" i="13"/>
  <c r="H14" i="13"/>
  <c r="H15" i="13"/>
  <c r="H16" i="13"/>
  <c r="H17" i="13"/>
  <c r="H18" i="13"/>
  <c r="H19" i="13"/>
  <c r="H20" i="13"/>
  <c r="H21" i="13"/>
  <c r="H22" i="13"/>
  <c r="H23" i="13"/>
  <c r="H24" i="13"/>
  <c r="H25" i="13"/>
  <c r="H26" i="13"/>
  <c r="H27" i="13"/>
  <c r="H28" i="13"/>
  <c r="H29" i="13"/>
  <c r="H30" i="13"/>
  <c r="H31" i="13"/>
  <c r="H32" i="13"/>
  <c r="H33" i="13"/>
  <c r="H34" i="13"/>
  <c r="H35" i="13"/>
  <c r="H36" i="13"/>
  <c r="H37" i="13"/>
  <c r="H38" i="13"/>
  <c r="H39" i="13"/>
  <c r="H40" i="13"/>
  <c r="H41" i="13"/>
  <c r="H42" i="13"/>
  <c r="H43" i="13"/>
  <c r="H44" i="13"/>
  <c r="H45" i="13"/>
  <c r="H46" i="13"/>
  <c r="H47" i="13"/>
  <c r="H48" i="13"/>
  <c r="H49" i="13"/>
  <c r="H50" i="13"/>
  <c r="H51" i="13"/>
  <c r="H52" i="13"/>
  <c r="H53" i="13"/>
  <c r="H54" i="13"/>
  <c r="H55" i="13"/>
  <c r="H56" i="13"/>
  <c r="H57" i="13"/>
  <c r="H58" i="13"/>
  <c r="H59" i="13"/>
  <c r="H60" i="13"/>
  <c r="H61" i="13"/>
  <c r="H62" i="13"/>
  <c r="H63" i="13"/>
  <c r="H64" i="13"/>
  <c r="H65" i="13"/>
  <c r="H66" i="13"/>
  <c r="H67" i="13"/>
  <c r="H68" i="13"/>
  <c r="H69" i="13"/>
  <c r="H70" i="13"/>
  <c r="H71" i="13"/>
  <c r="H72" i="13"/>
  <c r="H73" i="13"/>
  <c r="H74" i="13"/>
  <c r="H75" i="13"/>
  <c r="H76" i="13"/>
  <c r="H77" i="13"/>
  <c r="H78" i="13"/>
  <c r="H79" i="13"/>
  <c r="H80" i="13"/>
  <c r="H81" i="13"/>
  <c r="H82" i="13"/>
  <c r="H83" i="13"/>
  <c r="H84" i="13"/>
  <c r="H85" i="13"/>
  <c r="H86" i="13"/>
  <c r="H87" i="13"/>
  <c r="H88" i="13"/>
  <c r="H89" i="13"/>
  <c r="H90" i="13"/>
  <c r="H91" i="13"/>
  <c r="H92" i="13"/>
  <c r="H93" i="13"/>
  <c r="H94" i="13"/>
  <c r="H95" i="13"/>
  <c r="H96" i="13"/>
  <c r="H97" i="13"/>
  <c r="H98" i="13"/>
  <c r="H99" i="13"/>
  <c r="H100" i="13"/>
  <c r="H101" i="13"/>
  <c r="H102" i="13"/>
  <c r="H103" i="13"/>
  <c r="H104" i="13"/>
  <c r="H105" i="13"/>
  <c r="H106" i="13"/>
  <c r="H107" i="13"/>
  <c r="H108" i="13"/>
  <c r="H109" i="13"/>
  <c r="H110" i="13"/>
  <c r="H111" i="13"/>
  <c r="H112" i="13"/>
  <c r="H113" i="13"/>
  <c r="H114" i="13"/>
  <c r="H115" i="13"/>
  <c r="H116" i="13"/>
  <c r="H117" i="13"/>
  <c r="H118" i="13"/>
  <c r="H119" i="13"/>
  <c r="H120" i="13"/>
  <c r="H121" i="13"/>
  <c r="H122" i="13"/>
  <c r="H123" i="13"/>
  <c r="H124" i="13"/>
  <c r="H125" i="13"/>
  <c r="H126" i="13"/>
  <c r="H127" i="13"/>
  <c r="H128" i="13"/>
  <c r="H129" i="13"/>
  <c r="H130" i="13"/>
  <c r="H131" i="13"/>
  <c r="H132" i="13"/>
  <c r="H133" i="13"/>
  <c r="H134" i="13"/>
  <c r="H135" i="13"/>
  <c r="H136" i="13"/>
  <c r="H137" i="13"/>
  <c r="H138" i="13"/>
  <c r="H139" i="13"/>
  <c r="H140" i="13"/>
  <c r="H141" i="13"/>
  <c r="H142" i="13"/>
  <c r="H143" i="13"/>
  <c r="H144" i="13"/>
  <c r="H145" i="13"/>
  <c r="H146" i="13"/>
  <c r="H147" i="13"/>
  <c r="H148" i="13"/>
  <c r="H149" i="13"/>
  <c r="H150" i="13"/>
  <c r="K5" i="13"/>
  <c r="K6" i="13"/>
  <c r="K7" i="13"/>
  <c r="K8" i="13"/>
  <c r="K9" i="13"/>
  <c r="K10" i="13"/>
  <c r="K11" i="13"/>
  <c r="K12" i="13"/>
  <c r="K13" i="13"/>
  <c r="K14" i="13"/>
  <c r="K15" i="13"/>
  <c r="K16" i="13"/>
  <c r="K17" i="13"/>
  <c r="K18" i="13"/>
  <c r="K19" i="13"/>
  <c r="K20" i="13"/>
  <c r="K21" i="13"/>
  <c r="K22" i="13"/>
  <c r="K23" i="13"/>
  <c r="K24" i="13"/>
  <c r="K25" i="13"/>
  <c r="K26" i="13"/>
  <c r="K27" i="13"/>
  <c r="K28" i="13"/>
  <c r="K29" i="13"/>
  <c r="K30" i="13"/>
  <c r="K31" i="13"/>
  <c r="K32" i="13"/>
  <c r="K33" i="13"/>
  <c r="K34" i="13"/>
  <c r="K35" i="13"/>
  <c r="K36" i="13"/>
  <c r="K37" i="13"/>
  <c r="K38" i="13"/>
  <c r="K39" i="13"/>
  <c r="K40" i="13"/>
  <c r="K41" i="13"/>
  <c r="K42" i="13"/>
  <c r="K43" i="13"/>
  <c r="K44" i="13"/>
  <c r="K45" i="13"/>
  <c r="K46" i="13"/>
  <c r="K47" i="13"/>
  <c r="K48" i="13"/>
  <c r="K49" i="13"/>
  <c r="K50" i="13"/>
  <c r="K51" i="13"/>
  <c r="K52" i="13"/>
  <c r="K53" i="13"/>
  <c r="K54" i="13"/>
  <c r="K55" i="13"/>
  <c r="K56" i="13"/>
  <c r="K57" i="13"/>
  <c r="K58" i="13"/>
  <c r="K59" i="13"/>
  <c r="K60" i="13"/>
  <c r="K61" i="13"/>
  <c r="K62" i="13"/>
  <c r="K63" i="13"/>
  <c r="K64" i="13"/>
  <c r="K65" i="13"/>
  <c r="K66" i="13"/>
  <c r="K67" i="13"/>
  <c r="K68" i="13"/>
  <c r="K69" i="13"/>
  <c r="K70" i="13"/>
  <c r="K71" i="13"/>
  <c r="K72" i="13"/>
  <c r="K73" i="13"/>
  <c r="K74" i="13"/>
  <c r="K75" i="13"/>
  <c r="K76" i="13"/>
  <c r="K77" i="13"/>
  <c r="K78" i="13"/>
  <c r="K79" i="13"/>
  <c r="K80" i="13"/>
  <c r="K81" i="13"/>
  <c r="K82" i="13"/>
  <c r="K83" i="13"/>
  <c r="K84" i="13"/>
  <c r="K85" i="13"/>
  <c r="K86" i="13"/>
  <c r="K87" i="13"/>
  <c r="K88" i="13"/>
  <c r="K89" i="13"/>
  <c r="K90" i="13"/>
  <c r="K91" i="13"/>
  <c r="K92" i="13"/>
  <c r="K93" i="13"/>
  <c r="K94" i="13"/>
  <c r="K95" i="13"/>
  <c r="K96" i="13"/>
  <c r="K97" i="13"/>
  <c r="K98" i="13"/>
  <c r="K99" i="13"/>
  <c r="K100" i="13"/>
  <c r="K101" i="13"/>
  <c r="K102" i="13"/>
  <c r="K103" i="13"/>
  <c r="K104" i="13"/>
  <c r="K105" i="13"/>
  <c r="K106" i="13"/>
  <c r="K107" i="13"/>
  <c r="K108" i="13"/>
  <c r="K109" i="13"/>
  <c r="K110" i="13"/>
  <c r="K111" i="13"/>
  <c r="K112" i="13"/>
  <c r="K113" i="13"/>
  <c r="K114" i="13"/>
  <c r="K115" i="13"/>
  <c r="K116" i="13"/>
  <c r="K117" i="13"/>
  <c r="K118" i="13"/>
  <c r="K119" i="13"/>
  <c r="K120" i="13"/>
  <c r="K121" i="13"/>
  <c r="K122" i="13"/>
  <c r="K123" i="13"/>
  <c r="K124" i="13"/>
  <c r="K125" i="13"/>
  <c r="K126" i="13"/>
  <c r="K127" i="13"/>
  <c r="K128" i="13"/>
  <c r="K129" i="13"/>
  <c r="K130" i="13"/>
  <c r="K131" i="13"/>
  <c r="K132" i="13"/>
  <c r="K133" i="13"/>
  <c r="K134" i="13"/>
  <c r="K135" i="13"/>
  <c r="K136" i="13"/>
  <c r="K137" i="13"/>
  <c r="K138" i="13"/>
  <c r="K139" i="13"/>
  <c r="K140" i="13"/>
  <c r="K141" i="13"/>
  <c r="K142" i="13"/>
  <c r="K143" i="13"/>
  <c r="K144" i="13"/>
  <c r="K145" i="13"/>
  <c r="K146" i="13"/>
  <c r="K147" i="13"/>
  <c r="K148" i="13"/>
  <c r="K149" i="13"/>
  <c r="K150" i="13"/>
  <c r="K4" i="13"/>
  <c r="H4" i="13"/>
  <c r="J5" i="13"/>
  <c r="J6" i="13"/>
  <c r="J7" i="13"/>
  <c r="J8" i="13"/>
  <c r="J9" i="13"/>
  <c r="J10" i="13"/>
  <c r="J11" i="13"/>
  <c r="J12" i="13"/>
  <c r="J13" i="13"/>
  <c r="J14" i="13"/>
  <c r="J15" i="13"/>
  <c r="J16" i="13"/>
  <c r="J17" i="13"/>
  <c r="J18" i="13"/>
  <c r="J19" i="13"/>
  <c r="J20" i="13"/>
  <c r="J21" i="13"/>
  <c r="J22" i="13"/>
  <c r="J23" i="13"/>
  <c r="J24" i="13"/>
  <c r="J25" i="13"/>
  <c r="J26" i="13"/>
  <c r="J27" i="13"/>
  <c r="J28" i="13"/>
  <c r="J29" i="13"/>
  <c r="J30" i="13"/>
  <c r="J31" i="13"/>
  <c r="J32" i="13"/>
  <c r="J33" i="13"/>
  <c r="J34" i="13"/>
  <c r="J35" i="13"/>
  <c r="J36" i="13"/>
  <c r="J37" i="13"/>
  <c r="J38" i="13"/>
  <c r="J39" i="13"/>
  <c r="J40" i="13"/>
  <c r="J41" i="13"/>
  <c r="J42" i="13"/>
  <c r="J43" i="13"/>
  <c r="J44" i="13"/>
  <c r="J45" i="13"/>
  <c r="J46" i="13"/>
  <c r="J47" i="13"/>
  <c r="J48" i="13"/>
  <c r="J49" i="13"/>
  <c r="J50" i="13"/>
  <c r="J51" i="13"/>
  <c r="J52" i="13"/>
  <c r="J53" i="13"/>
  <c r="J54" i="13"/>
  <c r="J55" i="13"/>
  <c r="J56" i="13"/>
  <c r="J57" i="13"/>
  <c r="J58" i="13"/>
  <c r="J59" i="13"/>
  <c r="J60" i="13"/>
  <c r="J61" i="13"/>
  <c r="J62" i="13"/>
  <c r="J63" i="13"/>
  <c r="J64" i="13"/>
  <c r="J65" i="13"/>
  <c r="J66" i="13"/>
  <c r="J67" i="13"/>
  <c r="J68" i="13"/>
  <c r="J69" i="13"/>
  <c r="J70" i="13"/>
  <c r="J71" i="13"/>
  <c r="J72" i="13"/>
  <c r="J73" i="13"/>
  <c r="J74" i="13"/>
  <c r="J75" i="13"/>
  <c r="J76" i="13"/>
  <c r="J77" i="13"/>
  <c r="J78" i="13"/>
  <c r="J79" i="13"/>
  <c r="J80" i="13"/>
  <c r="J81" i="13"/>
  <c r="J82" i="13"/>
  <c r="J83" i="13"/>
  <c r="J84" i="13"/>
  <c r="J85" i="13"/>
  <c r="J86" i="13"/>
  <c r="J87" i="13"/>
  <c r="J88" i="13"/>
  <c r="J89" i="13"/>
  <c r="J90" i="13"/>
  <c r="J91" i="13"/>
  <c r="J92" i="13"/>
  <c r="J93" i="13"/>
  <c r="J94" i="13"/>
  <c r="J95" i="13"/>
  <c r="J96" i="13"/>
  <c r="J97" i="13"/>
  <c r="J98" i="13"/>
  <c r="J99" i="13"/>
  <c r="J100" i="13"/>
  <c r="J101" i="13"/>
  <c r="J102" i="13"/>
  <c r="J103" i="13"/>
  <c r="J104" i="13"/>
  <c r="J105" i="13"/>
  <c r="J106" i="13"/>
  <c r="J107" i="13"/>
  <c r="J108" i="13"/>
  <c r="J109" i="13"/>
  <c r="J110" i="13"/>
  <c r="J111" i="13"/>
  <c r="J112" i="13"/>
  <c r="J113" i="13"/>
  <c r="J114" i="13"/>
  <c r="J115" i="13"/>
  <c r="J116" i="13"/>
  <c r="J117" i="13"/>
  <c r="J118" i="13"/>
  <c r="J119" i="13"/>
  <c r="J120" i="13"/>
  <c r="J121" i="13"/>
  <c r="J122" i="13"/>
  <c r="J123" i="13"/>
  <c r="J124" i="13"/>
  <c r="J125" i="13"/>
  <c r="J126" i="13"/>
  <c r="J127" i="13"/>
  <c r="J128" i="13"/>
  <c r="J129" i="13"/>
  <c r="J130" i="13"/>
  <c r="J131" i="13"/>
  <c r="J132" i="13"/>
  <c r="J133" i="13"/>
  <c r="J134" i="13"/>
  <c r="J135" i="13"/>
  <c r="J136" i="13"/>
  <c r="J137" i="13"/>
  <c r="J138" i="13"/>
  <c r="J139" i="13"/>
  <c r="J140" i="13"/>
  <c r="J141" i="13"/>
  <c r="J142" i="13"/>
  <c r="J143" i="13"/>
  <c r="J144" i="13"/>
  <c r="J145" i="13"/>
  <c r="J146" i="13"/>
  <c r="J147" i="13"/>
  <c r="J148" i="13"/>
  <c r="J149" i="13"/>
  <c r="J150" i="13"/>
  <c r="J4" i="13"/>
  <c r="G5" i="13"/>
  <c r="G6" i="13"/>
  <c r="G7" i="13"/>
  <c r="G8" i="13"/>
  <c r="G9" i="13"/>
  <c r="G10" i="13"/>
  <c r="G11" i="13"/>
  <c r="G12" i="13"/>
  <c r="G13" i="13"/>
  <c r="G14" i="13"/>
  <c r="G15" i="13"/>
  <c r="G16" i="13"/>
  <c r="G17" i="13"/>
  <c r="G18" i="13"/>
  <c r="G19" i="13"/>
  <c r="G20" i="13"/>
  <c r="G21" i="13"/>
  <c r="G22" i="13"/>
  <c r="G23" i="13"/>
  <c r="G24" i="13"/>
  <c r="G25" i="13"/>
  <c r="G26" i="13"/>
  <c r="G27" i="13"/>
  <c r="G28" i="13"/>
  <c r="G29" i="13"/>
  <c r="G30" i="13"/>
  <c r="G31" i="13"/>
  <c r="G32" i="13"/>
  <c r="G33" i="13"/>
  <c r="G34" i="13"/>
  <c r="G35" i="13"/>
  <c r="G36" i="13"/>
  <c r="G37" i="13"/>
  <c r="G38" i="13"/>
  <c r="G39" i="13"/>
  <c r="G40" i="13"/>
  <c r="G41" i="13"/>
  <c r="G42" i="13"/>
  <c r="G43" i="13"/>
  <c r="G44" i="13"/>
  <c r="G45" i="13"/>
  <c r="G46" i="13"/>
  <c r="G47" i="13"/>
  <c r="G48" i="13"/>
  <c r="G49" i="13"/>
  <c r="G50" i="13"/>
  <c r="G51" i="13"/>
  <c r="G52" i="13"/>
  <c r="G53" i="13"/>
  <c r="G54" i="13"/>
  <c r="G55" i="13"/>
  <c r="G56" i="13"/>
  <c r="G57" i="13"/>
  <c r="G58" i="13"/>
  <c r="G59" i="13"/>
  <c r="G60" i="13"/>
  <c r="G61" i="13"/>
  <c r="G62" i="13"/>
  <c r="G63" i="13"/>
  <c r="G64" i="13"/>
  <c r="G65" i="13"/>
  <c r="G66" i="13"/>
  <c r="G67" i="13"/>
  <c r="G68" i="13"/>
  <c r="G69" i="13"/>
  <c r="G70" i="13"/>
  <c r="G71" i="13"/>
  <c r="G72" i="13"/>
  <c r="G73" i="13"/>
  <c r="G74" i="13"/>
  <c r="G75" i="13"/>
  <c r="G76" i="13"/>
  <c r="G77" i="13"/>
  <c r="G78" i="13"/>
  <c r="G79" i="13"/>
  <c r="G80" i="13"/>
  <c r="G81" i="13"/>
  <c r="G82" i="13"/>
  <c r="G83" i="13"/>
  <c r="G84" i="13"/>
  <c r="G85" i="13"/>
  <c r="G86" i="13"/>
  <c r="G87" i="13"/>
  <c r="G88" i="13"/>
  <c r="G89" i="13"/>
  <c r="G90" i="13"/>
  <c r="G91" i="13"/>
  <c r="G92" i="13"/>
  <c r="G93" i="13"/>
  <c r="G94" i="13"/>
  <c r="G95" i="13"/>
  <c r="G96" i="13"/>
  <c r="G97" i="13"/>
  <c r="G98" i="13"/>
  <c r="G99" i="13"/>
  <c r="G100" i="13"/>
  <c r="G101" i="13"/>
  <c r="G102" i="13"/>
  <c r="G103" i="13"/>
  <c r="G104" i="13"/>
  <c r="G105" i="13"/>
  <c r="G106" i="13"/>
  <c r="G107" i="13"/>
  <c r="G108" i="13"/>
  <c r="G109" i="13"/>
  <c r="G110" i="13"/>
  <c r="G111" i="13"/>
  <c r="G112" i="13"/>
  <c r="G113" i="13"/>
  <c r="G114" i="13"/>
  <c r="G115" i="13"/>
  <c r="G116" i="13"/>
  <c r="G117" i="13"/>
  <c r="G118" i="13"/>
  <c r="G119" i="13"/>
  <c r="G120" i="13"/>
  <c r="G121" i="13"/>
  <c r="G122" i="13"/>
  <c r="G123" i="13"/>
  <c r="G124" i="13"/>
  <c r="G125" i="13"/>
  <c r="G126" i="13"/>
  <c r="G127" i="13"/>
  <c r="G128" i="13"/>
  <c r="G129" i="13"/>
  <c r="G130" i="13"/>
  <c r="G131" i="13"/>
  <c r="G132" i="13"/>
  <c r="G133" i="13"/>
  <c r="G134" i="13"/>
  <c r="G135" i="13"/>
  <c r="G136" i="13"/>
  <c r="G137" i="13"/>
  <c r="G138" i="13"/>
  <c r="G139" i="13"/>
  <c r="G140" i="13"/>
  <c r="G141" i="13"/>
  <c r="G142" i="13"/>
  <c r="G143" i="13"/>
  <c r="G144" i="13"/>
  <c r="G145" i="13"/>
  <c r="G146" i="13"/>
  <c r="G147" i="13"/>
  <c r="G148" i="13"/>
  <c r="G149" i="13"/>
  <c r="G150" i="13"/>
  <c r="G4" i="13"/>
  <c r="E5" i="14"/>
  <c r="E6" i="14"/>
  <c r="E7" i="14"/>
  <c r="E8" i="14"/>
  <c r="E9" i="14"/>
  <c r="E10" i="14"/>
  <c r="E11" i="14"/>
  <c r="E12" i="14"/>
  <c r="E13" i="14"/>
  <c r="E14" i="14"/>
  <c r="E15" i="14"/>
  <c r="E16" i="14"/>
  <c r="E17" i="14"/>
  <c r="E18" i="14"/>
  <c r="E19" i="14"/>
  <c r="E20" i="14"/>
  <c r="E21" i="14"/>
  <c r="E22" i="14"/>
  <c r="E23" i="14"/>
  <c r="E24" i="14"/>
  <c r="E25" i="14"/>
  <c r="E26" i="14"/>
  <c r="E27" i="14"/>
  <c r="E28" i="14"/>
  <c r="E29" i="14"/>
  <c r="E30" i="14"/>
  <c r="E31" i="14"/>
  <c r="E32" i="14"/>
  <c r="E33" i="14"/>
  <c r="E34" i="14"/>
  <c r="E35" i="14"/>
  <c r="E36" i="14"/>
  <c r="E37" i="14"/>
  <c r="E38" i="14"/>
  <c r="E39" i="14"/>
  <c r="E40" i="14"/>
  <c r="E41" i="14"/>
  <c r="E42" i="14"/>
  <c r="E43" i="14"/>
  <c r="E44" i="14"/>
  <c r="E45" i="14"/>
  <c r="E46" i="14"/>
  <c r="E47" i="14"/>
  <c r="E48" i="14"/>
  <c r="E49" i="14"/>
  <c r="E50" i="14"/>
  <c r="E51" i="14"/>
  <c r="E52" i="14"/>
  <c r="E53" i="14"/>
  <c r="E54" i="14"/>
  <c r="E55" i="14"/>
  <c r="E56" i="14"/>
  <c r="E57" i="14"/>
  <c r="E58" i="14"/>
  <c r="E59" i="14"/>
  <c r="E60" i="14"/>
  <c r="E61" i="14"/>
  <c r="E62" i="14"/>
  <c r="E63" i="14"/>
  <c r="E64" i="14"/>
  <c r="E65" i="14"/>
  <c r="E66" i="14"/>
  <c r="E67" i="14"/>
  <c r="E68" i="14"/>
  <c r="E69" i="14"/>
  <c r="E70" i="14"/>
  <c r="E71" i="14"/>
  <c r="E72" i="14"/>
  <c r="E73" i="14"/>
  <c r="E74" i="14"/>
  <c r="E75" i="14"/>
  <c r="E76" i="14"/>
  <c r="E77" i="14"/>
  <c r="E78" i="14"/>
  <c r="E79" i="14"/>
  <c r="E80" i="14"/>
  <c r="E81" i="14"/>
  <c r="E82" i="14"/>
  <c r="E83" i="14"/>
  <c r="E84" i="14"/>
  <c r="E85" i="14"/>
  <c r="E86" i="14"/>
  <c r="E87" i="14"/>
  <c r="E88" i="14"/>
  <c r="E89" i="14"/>
  <c r="E90" i="14"/>
  <c r="E91" i="14"/>
  <c r="E92" i="14"/>
  <c r="E93" i="14"/>
  <c r="E94" i="14"/>
  <c r="E95" i="14"/>
  <c r="E96" i="14"/>
  <c r="E97" i="14"/>
  <c r="E98" i="14"/>
  <c r="E99" i="14"/>
  <c r="E100" i="14"/>
  <c r="E101" i="14"/>
  <c r="E102" i="14"/>
  <c r="E103" i="14"/>
  <c r="E104" i="14"/>
  <c r="E105" i="14"/>
  <c r="E106" i="14"/>
  <c r="E107" i="14"/>
  <c r="E108" i="14"/>
  <c r="E109" i="14"/>
  <c r="E110" i="14"/>
  <c r="E111" i="14"/>
  <c r="E112" i="14"/>
  <c r="E113" i="14"/>
  <c r="E114" i="14"/>
  <c r="E115" i="14"/>
  <c r="E116" i="14"/>
  <c r="E117" i="14"/>
  <c r="E118" i="14"/>
  <c r="E119" i="14"/>
  <c r="E120" i="14"/>
  <c r="E121" i="14"/>
  <c r="E122" i="14"/>
  <c r="E123" i="14"/>
  <c r="E124" i="14"/>
  <c r="E125" i="14"/>
  <c r="E126" i="14"/>
  <c r="E127" i="14"/>
  <c r="E128" i="14"/>
  <c r="E129" i="14"/>
  <c r="E130" i="14"/>
  <c r="E131" i="14"/>
  <c r="E132" i="14"/>
  <c r="E133" i="14"/>
  <c r="E134" i="14"/>
  <c r="E135" i="14"/>
  <c r="E136" i="14"/>
  <c r="E137" i="14"/>
  <c r="E138" i="14"/>
  <c r="E139" i="14"/>
  <c r="E140" i="14"/>
  <c r="E141" i="14"/>
  <c r="E142" i="14"/>
  <c r="E143" i="14"/>
  <c r="E144" i="14"/>
  <c r="E145" i="14"/>
  <c r="E146" i="14"/>
  <c r="E147" i="14"/>
  <c r="E148" i="14"/>
  <c r="E149" i="14"/>
  <c r="E150" i="14"/>
  <c r="E151" i="14"/>
  <c r="E152" i="14"/>
  <c r="E153" i="14"/>
  <c r="E154" i="14"/>
  <c r="E155" i="14"/>
  <c r="E156" i="14"/>
  <c r="E157" i="14"/>
  <c r="E158" i="14"/>
  <c r="E159" i="14"/>
  <c r="E160" i="14"/>
  <c r="E161" i="14"/>
  <c r="E162" i="14"/>
  <c r="E163" i="14"/>
  <c r="E164" i="14"/>
  <c r="E165" i="14"/>
  <c r="E166" i="14"/>
  <c r="E167" i="14"/>
  <c r="E168" i="14"/>
  <c r="E169" i="14"/>
  <c r="E4" i="14"/>
  <c r="B5" i="5"/>
  <c r="B6" i="5"/>
  <c r="B5" i="4"/>
  <c r="B5" i="3"/>
  <c r="B6" i="3"/>
  <c r="B6" i="2"/>
  <c r="B6" i="4"/>
  <c r="O24" i="17"/>
  <c r="O26" i="17"/>
  <c r="B4" i="2" l="1"/>
  <c r="B4" i="14" a="1"/>
  <c r="B4" i="14" s="1"/>
  <c r="B4" i="13" a="1"/>
  <c r="B4" i="13" s="1"/>
  <c r="B4" i="4"/>
  <c r="B4" i="3" l="1"/>
  <c r="O13" i="3" l="1"/>
  <c r="O11" i="3"/>
  <c r="B7" i="2" l="1"/>
  <c r="M13" i="2" l="1"/>
  <c r="M11" i="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<sst xmlns="http://schemas.openxmlformats.org/spreadsheetml/2006/main" count="2358" uniqueCount="261">
  <si>
    <t>Property Management Tool</t>
  </si>
  <si>
    <t>Dashboard</t>
  </si>
  <si>
    <t>Reports &amp; Graphs</t>
  </si>
  <si>
    <t xml:space="preserve"> </t>
  </si>
  <si>
    <t>Properties</t>
  </si>
  <si>
    <t/>
  </si>
  <si>
    <t>Row Labels</t>
  </si>
  <si>
    <t>Expence</t>
  </si>
  <si>
    <t>Income</t>
  </si>
  <si>
    <t>Profits &amp; Loss</t>
  </si>
  <si>
    <t>George</t>
  </si>
  <si>
    <t>Jennifer</t>
  </si>
  <si>
    <t xml:space="preserve">JM </t>
  </si>
  <si>
    <t xml:space="preserve">Maria </t>
  </si>
  <si>
    <t>Matt</t>
  </si>
  <si>
    <t>Wangas</t>
  </si>
  <si>
    <t xml:space="preserve">Properties &amp; Buildings </t>
  </si>
  <si>
    <t>Property Name Row</t>
  </si>
  <si>
    <t xml:space="preserve">Select Property </t>
  </si>
  <si>
    <t>Equitable Property Group</t>
  </si>
  <si>
    <t>Property ID</t>
  </si>
  <si>
    <t>Property ID Row</t>
  </si>
  <si>
    <t>Next Property ID</t>
  </si>
  <si>
    <t>Property Name</t>
  </si>
  <si>
    <t>Type</t>
  </si>
  <si>
    <t>Industrial</t>
  </si>
  <si>
    <t>Start Date</t>
  </si>
  <si>
    <t>Next Attach ID</t>
  </si>
  <si>
    <t>Address</t>
  </si>
  <si>
    <t>Nairobi</t>
  </si>
  <si>
    <t>Owner's Name</t>
  </si>
  <si>
    <t>Veronicah Nanjala</t>
  </si>
  <si>
    <t>Phone</t>
  </si>
  <si>
    <t>Email</t>
  </si>
  <si>
    <t>veronicananjala1@gmail.com</t>
  </si>
  <si>
    <t>Manager's Name</t>
  </si>
  <si>
    <t>Units &amp; Tenants</t>
  </si>
  <si>
    <t>Recent Occupied Units</t>
  </si>
  <si>
    <t>Unit ID</t>
  </si>
  <si>
    <t>Unit Row</t>
  </si>
  <si>
    <t>Next Unit ID</t>
  </si>
  <si>
    <t>Tenant Name</t>
  </si>
  <si>
    <t>Unit #</t>
  </si>
  <si>
    <t>Unit Type</t>
  </si>
  <si>
    <t>Notes</t>
  </si>
  <si>
    <t>Lease Start</t>
  </si>
  <si>
    <t>Phone 1</t>
  </si>
  <si>
    <t>Email 1</t>
  </si>
  <si>
    <t>Lease End</t>
  </si>
  <si>
    <t>Phone 2</t>
  </si>
  <si>
    <t>Email 2</t>
  </si>
  <si>
    <t>Income &amp; Expensse Transactions</t>
  </si>
  <si>
    <t xml:space="preserve">Recent Transactions </t>
  </si>
  <si>
    <t>Trans ID</t>
  </si>
  <si>
    <t>Transaction Row</t>
  </si>
  <si>
    <t>Next Transation ID</t>
  </si>
  <si>
    <t>Trans Name</t>
  </si>
  <si>
    <t>Unit#</t>
  </si>
  <si>
    <t>Date</t>
  </si>
  <si>
    <t>Trans. Details</t>
  </si>
  <si>
    <t>Paid By:</t>
  </si>
  <si>
    <t>Amount</t>
  </si>
  <si>
    <t>Alerts &amp; Reminders</t>
  </si>
  <si>
    <t>Recent Alerts</t>
  </si>
  <si>
    <t>Alert ID</t>
  </si>
  <si>
    <t>Alert Row</t>
  </si>
  <si>
    <t>Alert Name</t>
  </si>
  <si>
    <t>Time</t>
  </si>
  <si>
    <t>Alert Details</t>
  </si>
  <si>
    <t>H4</t>
  </si>
  <si>
    <t>E6</t>
  </si>
  <si>
    <t>G6</t>
  </si>
  <si>
    <t>I6</t>
  </si>
  <si>
    <t>E8</t>
  </si>
  <si>
    <t>E10</t>
  </si>
  <si>
    <t>G10</t>
  </si>
  <si>
    <t>I10</t>
  </si>
  <si>
    <t>E12</t>
  </si>
  <si>
    <t>G12</t>
  </si>
  <si>
    <t>I12</t>
  </si>
  <si>
    <t>Properties Database</t>
  </si>
  <si>
    <t>Prop ID</t>
  </si>
  <si>
    <t>Name</t>
  </si>
  <si>
    <t>Owner</t>
  </si>
  <si>
    <t>Owner Phone</t>
  </si>
  <si>
    <t>owner email</t>
  </si>
  <si>
    <t>Manager</t>
  </si>
  <si>
    <t>Mgr phone</t>
  </si>
  <si>
    <t>Mgr Email</t>
  </si>
  <si>
    <t>Brick Lane Realty</t>
  </si>
  <si>
    <t>Residential</t>
  </si>
  <si>
    <t>Kisumu</t>
  </si>
  <si>
    <t>Lynn Mumia</t>
  </si>
  <si>
    <t>Cobblestone Realty Partners</t>
  </si>
  <si>
    <t>Special-Use</t>
  </si>
  <si>
    <t>Eldoret</t>
  </si>
  <si>
    <t>JM</t>
  </si>
  <si>
    <t>Picket Fence Realty</t>
  </si>
  <si>
    <t>Commercial</t>
  </si>
  <si>
    <t>Mombasa</t>
  </si>
  <si>
    <t>Peter Murua</t>
  </si>
  <si>
    <t>Sterling Property Advisors</t>
  </si>
  <si>
    <t>Mama Valentine</t>
  </si>
  <si>
    <t>Carpe Diem Realty</t>
  </si>
  <si>
    <t>Raw-Land</t>
  </si>
  <si>
    <t>Mary Jame</t>
  </si>
  <si>
    <t>Home &amp; Hearth Realty</t>
  </si>
  <si>
    <t>Nancy Macharia</t>
  </si>
  <si>
    <t>Bond &amp; Main Real Estate Group</t>
  </si>
  <si>
    <t>Stellar Property Advisors</t>
  </si>
  <si>
    <t>Bold Realty</t>
  </si>
  <si>
    <t>veronicananjala@centum.com</t>
  </si>
  <si>
    <t>Mercy Atieno</t>
  </si>
  <si>
    <t>Excelsior Real Estate</t>
  </si>
  <si>
    <t>The Viola Group</t>
  </si>
  <si>
    <t>Sequoia Real Estate</t>
  </si>
  <si>
    <t>Barrow Street Realty</t>
  </si>
  <si>
    <t>Orchard Street Properties</t>
  </si>
  <si>
    <t>Blue Sky Realty</t>
  </si>
  <si>
    <t>Silverbell Realty</t>
  </si>
  <si>
    <t>Broadleaf Homes</t>
  </si>
  <si>
    <t>Acuta Real Estate</t>
  </si>
  <si>
    <t>Summerwood Group</t>
  </si>
  <si>
    <t>Anchor Group Real Estate</t>
  </si>
  <si>
    <t>Apogee Property Advisors</t>
  </si>
  <si>
    <t>Axis Group Real Estate</t>
  </si>
  <si>
    <t>Equinox Partners Real Property</t>
  </si>
  <si>
    <t>Nova Group Real Estate</t>
  </si>
  <si>
    <t>Lark Homes</t>
  </si>
  <si>
    <t>Equinox Realty Advisors</t>
  </si>
  <si>
    <t>Champion Real Estate Advisors</t>
  </si>
  <si>
    <t>Devoe Partners</t>
  </si>
  <si>
    <t>Olive Tree Realty</t>
  </si>
  <si>
    <t>Banyan Tree Realty</t>
  </si>
  <si>
    <t>Driggs Realty</t>
  </si>
  <si>
    <t>Magnolia Group Real Estate</t>
  </si>
  <si>
    <t>Cardinal Realty</t>
  </si>
  <si>
    <t>Forward Real Estate Advisors</t>
  </si>
  <si>
    <t>Citadel Partners Realty</t>
  </si>
  <si>
    <t>Privet Group Real Property</t>
  </si>
  <si>
    <t>Corsair Real Estate</t>
  </si>
  <si>
    <t>Beacon Homes LLC</t>
  </si>
  <si>
    <t>Weathervane Group Realty</t>
  </si>
  <si>
    <t>Echelon Private Client Realty</t>
  </si>
  <si>
    <t>Black Oak Realty</t>
  </si>
  <si>
    <t>Finders Group Realty LA</t>
  </si>
  <si>
    <t>Lamplighters Realty</t>
  </si>
  <si>
    <t>Adobe Property Advisors</t>
  </si>
  <si>
    <t>Pagoda Partners Realty</t>
  </si>
  <si>
    <t>Capstone Realty</t>
  </si>
  <si>
    <t>Keystone Group Real Estate</t>
  </si>
  <si>
    <t>Blue Slate Realty</t>
  </si>
  <si>
    <t>Red Coral Realty</t>
  </si>
  <si>
    <t>Golden Meadows Property Group</t>
  </si>
  <si>
    <t>Sunstone Property Advisors</t>
  </si>
  <si>
    <t>Full Circle Real Estate</t>
  </si>
  <si>
    <t>Jasper Realty</t>
  </si>
  <si>
    <t>Platinum Property Advisors</t>
  </si>
  <si>
    <t>Cottonwood Real Estate</t>
  </si>
  <si>
    <t>Sovereign Realty</t>
  </si>
  <si>
    <t>Five Star Real Property</t>
  </si>
  <si>
    <t>Divine Nooks</t>
  </si>
  <si>
    <t>Landmark Realty Group</t>
  </si>
  <si>
    <t>Granite Real Estate</t>
  </si>
  <si>
    <t>Pinnacle Real Estate</t>
  </si>
  <si>
    <t>Blue Reef Properties</t>
  </si>
  <si>
    <t>Haven Group Real Estate</t>
  </si>
  <si>
    <t>Seekers Realty</t>
  </si>
  <si>
    <t>Shipwright Realty</t>
  </si>
  <si>
    <t>Siren Partners Real Estate</t>
  </si>
  <si>
    <t>Bluebell Real Estate</t>
  </si>
  <si>
    <t>Larkspur Partners Realty</t>
  </si>
  <si>
    <t>Agile Real Estate Group</t>
  </si>
  <si>
    <t>Nestled Real Estate</t>
  </si>
  <si>
    <t>Fortune Team</t>
  </si>
  <si>
    <t>Found Property Group</t>
  </si>
  <si>
    <t>Rise Real Estate</t>
  </si>
  <si>
    <t>Strive Partners Realty</t>
  </si>
  <si>
    <t>Herringbone Realty</t>
  </si>
  <si>
    <t>Veronicah</t>
  </si>
  <si>
    <t>v.maria@marina.ke</t>
  </si>
  <si>
    <t>Mary</t>
  </si>
  <si>
    <t>m.maria@marina.ke</t>
  </si>
  <si>
    <t>E4</t>
  </si>
  <si>
    <t>Criteria</t>
  </si>
  <si>
    <t>Results</t>
  </si>
  <si>
    <t>Units Database</t>
  </si>
  <si>
    <t>UnitType</t>
  </si>
  <si>
    <t>Phone1</t>
  </si>
  <si>
    <t>Vero</t>
  </si>
  <si>
    <t>One Bedroom</t>
  </si>
  <si>
    <t>Occupied</t>
  </si>
  <si>
    <t>Mercy</t>
  </si>
  <si>
    <t>Two Bedroom</t>
  </si>
  <si>
    <t>Free</t>
  </si>
  <si>
    <t>Nancy</t>
  </si>
  <si>
    <t>Three Bedroom</t>
  </si>
  <si>
    <t>Booked</t>
  </si>
  <si>
    <t>Peter</t>
  </si>
  <si>
    <t>Four Bedroom</t>
  </si>
  <si>
    <t>Njeri</t>
  </si>
  <si>
    <t>Peninah</t>
  </si>
  <si>
    <t>James</t>
  </si>
  <si>
    <t>J4</t>
  </si>
  <si>
    <t>G4</t>
  </si>
  <si>
    <t>K6</t>
  </si>
  <si>
    <t>G8</t>
  </si>
  <si>
    <t>K10</t>
  </si>
  <si>
    <t>Transations Database</t>
  </si>
  <si>
    <t>Trans Id</t>
  </si>
  <si>
    <t>Prop Name</t>
  </si>
  <si>
    <t>Details</t>
  </si>
  <si>
    <t>Paid by:</t>
  </si>
  <si>
    <t xml:space="preserve">Amount </t>
  </si>
  <si>
    <t xml:space="preserve">Profits </t>
  </si>
  <si>
    <t>Water</t>
  </si>
  <si>
    <t>Piad</t>
  </si>
  <si>
    <t>Power</t>
  </si>
  <si>
    <t>Rent</t>
  </si>
  <si>
    <t>Levy</t>
  </si>
  <si>
    <t>Alerts &amp; Reminders Database</t>
  </si>
  <si>
    <t xml:space="preserve">Details </t>
  </si>
  <si>
    <t>outdoor warning sirens</t>
  </si>
  <si>
    <t>To worked on</t>
  </si>
  <si>
    <t>local television and radio stations</t>
  </si>
  <si>
    <t>handled</t>
  </si>
  <si>
    <t>cable television systems</t>
  </si>
  <si>
    <t>cancelled</t>
  </si>
  <si>
    <t>cell phone apps</t>
  </si>
  <si>
    <t xml:space="preserve">Income &amp; Expences </t>
  </si>
  <si>
    <t xml:space="preserve">Properties and Locations </t>
  </si>
  <si>
    <t>Profits</t>
  </si>
  <si>
    <t>Label</t>
  </si>
  <si>
    <t>Count of Type</t>
  </si>
  <si>
    <t>Total Amounts for</t>
  </si>
  <si>
    <t>Column Labels</t>
  </si>
  <si>
    <t>Transaction</t>
  </si>
  <si>
    <t xml:space="preserve">Sum of Amount </t>
  </si>
  <si>
    <t>Units</t>
  </si>
  <si>
    <t>Ann</t>
  </si>
  <si>
    <t>A</t>
  </si>
  <si>
    <t>D</t>
  </si>
  <si>
    <t>E</t>
  </si>
  <si>
    <t>Grand Total</t>
  </si>
  <si>
    <t>F</t>
  </si>
  <si>
    <t>I</t>
  </si>
  <si>
    <t>Sam</t>
  </si>
  <si>
    <t>J</t>
  </si>
  <si>
    <t>K</t>
  </si>
  <si>
    <t>M</t>
  </si>
  <si>
    <t>N</t>
  </si>
  <si>
    <t>O</t>
  </si>
  <si>
    <t>P</t>
  </si>
  <si>
    <t>Q</t>
  </si>
  <si>
    <t>S</t>
  </si>
  <si>
    <t>U</t>
  </si>
  <si>
    <t>W</t>
  </si>
  <si>
    <t>Attach ID</t>
  </si>
  <si>
    <t>File Path</t>
  </si>
  <si>
    <t xml:space="preserve">Criteria </t>
  </si>
  <si>
    <t xml:space="preserve">results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</si>
</sst>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lt;=9999999]###\-####;\(###\)\ ###\-####"/>
    <numFmt numFmtId="165" formatCode="[$-F800]dddd\,\ mmmm\ dd\,\ yyyy"/>
    <numFmt numFmtId="166" formatCode="[$-409]dd\-mmm\-yy;@"/>
    <numFmt numFmtId="167" formatCode="_([$KES]\ * #,##0.00_);_([$KES]\ * \(#,##0.00\);_([$KES]\ * &quot;-&quot;??_);_(@_)"/>
    <numFmt numFmtId="168" formatCode="h:mm:ss;@"/>
    <numFmt numFmtId="169" formatCode="_([$KES]\ * #,##0_);_([$KES]\ * \(#,##0\);_([$KES]\ * &quot;-&quot;_);_(@_)"/>
  </numFmts>
  <fonts count="16">
    <font>
      <sz val="11"/>
      <color theme="1"/>
      <name val="Gill Sans MT"/>
      <family val="2"/>
      <scheme val="minor"/>
    </font>
    <font>
      <sz val="11"/>
      <color theme="1"/>
      <name val="Gill Sans MT"/>
      <family val="2"/>
      <scheme val="minor"/>
    </font>
    <font>
      <sz val="18"/>
      <color theme="1"/>
      <name val="Amasis MT Pro Black"/>
      <family val="1"/>
    </font>
    <font>
      <sz val="10"/>
      <color theme="1"/>
      <name val="Gill Sans MT"/>
      <family val="2"/>
      <scheme val="minor"/>
    </font>
    <font>
      <u/>
      <sz val="11"/>
      <color theme="10"/>
      <name val="Gill Sans MT"/>
      <family val="2"/>
      <scheme val="minor"/>
    </font>
    <font>
      <sz val="11"/>
      <name val="Gill Sans MT"/>
      <family val="2"/>
      <scheme val="minor"/>
    </font>
    <font>
      <b/>
      <sz val="11"/>
      <color theme="1"/>
      <name val="Gill Sans MT"/>
      <family val="2"/>
      <scheme val="minor"/>
    </font>
    <font>
      <sz val="11"/>
      <color theme="1"/>
      <name val="Gill Sans MT"/>
      <family val="2"/>
      <scheme val="major"/>
    </font>
    <font>
      <sz val="11"/>
      <color rgb="FF3A3A3A"/>
      <name val="Gill Sans MT"/>
      <family val="2"/>
      <scheme val="major"/>
    </font>
    <font>
      <sz val="14"/>
      <color rgb="FFFBDE2D"/>
      <name val="Courier New"/>
      <family val="3"/>
    </font>
    <font>
      <sz val="11"/>
      <color rgb="FF202124"/>
      <name val="Gill Sans MT"/>
      <family val="2"/>
      <scheme val="major"/>
    </font>
    <font>
      <b/>
      <sz val="11"/>
      <color theme="0"/>
      <name val="Gill Sans MT"/>
      <family val="2"/>
      <scheme val="minor"/>
    </font>
    <font>
      <b/>
      <sz val="30"/>
      <color theme="1"/>
      <name val="Arial Rounded MT Bold"/>
      <family val="2"/>
    </font>
    <font>
      <sz val="15"/>
      <color theme="1"/>
      <name val="Aharoni"/>
      <charset val="177"/>
    </font>
    <font>
      <sz val="11"/>
      <color theme="4" tint="0.79998168889431442"/>
      <name val="Gill Sans MT"/>
      <family val="2"/>
      <scheme val="minor"/>
    </font>
    <font>
      <sz val="11"/>
      <color theme="0"/>
      <name val="Gill Sans MT"/>
      <family val="2"/>
      <scheme val="minor"/>
    </font>
  </fonts>
  <fills count="21">
    <fill>
      <patternFill patternType="none"/>
    </fill>
    <fill>
      <patternFill patternType="gray125"/>
    </fill>
    <fill>
      <gradientFill degree="90">
        <stop position="0">
          <color theme="7" tint="0.80001220740379042"/>
        </stop>
        <stop position="0.5">
          <color theme="7" tint="0.59999389629810485"/>
        </stop>
        <stop position="1">
          <color theme="7" tint="0.80001220740379042"/>
        </stop>
      </gradientFill>
    </fill>
    <fill>
      <gradientFill degree="90">
        <stop position="0">
          <color theme="7" tint="0.80001220740379042"/>
        </stop>
        <stop position="0.5">
          <color theme="7" tint="0.80001220740379042"/>
        </stop>
        <stop position="1">
          <color theme="7" tint="0.80001220740379042"/>
        </stop>
      </gradientFill>
    </fill>
    <fill>
      <patternFill patternType="solid">
        <fgColor theme="0" tint="-4.9989318521683403E-2"/>
        <bgColor indexed="64"/>
      </patternFill>
    </fill>
    <fill>
      <patternFill patternType="solid">
        <fgColor theme="4" tint="0.79998168889431442"/>
        <bgColor indexed="64"/>
      </patternFill>
    </fill>
    <fill>
      <patternFill patternType="solid">
        <fgColor theme="0"/>
        <bgColor indexed="64"/>
      </patternFill>
    </fill>
    <fill>
      <patternFill patternType="solid">
        <fgColor theme="9" tint="0.79998168889431442"/>
        <bgColor indexed="64"/>
      </patternFill>
    </fill>
    <fill>
      <patternFill patternType="solid">
        <fgColor theme="3" tint="0.749992370372631"/>
        <bgColor indexed="64"/>
      </patternFill>
    </fill>
    <fill>
      <patternFill patternType="solid">
        <fgColor rgb="FFFFFF00"/>
        <bgColor indexed="64"/>
      </patternFill>
    </fill>
    <fill>
      <patternFill patternType="solid">
        <fgColor theme="7" tint="0.59999389629810485"/>
        <bgColor indexed="64"/>
      </patternFill>
    </fill>
    <fill>
      <patternFill patternType="solid">
        <fgColor theme="7" tint="0.79998168889431442"/>
        <bgColor indexed="64"/>
      </patternFill>
    </fill>
    <fill>
      <patternFill patternType="solid">
        <fgColor theme="4"/>
        <bgColor indexed="64"/>
      </patternFill>
    </fill>
    <fill>
      <patternFill patternType="solid">
        <fgColor theme="4" tint="0.79998168889431442"/>
        <bgColor theme="4" tint="0.79998168889431442"/>
      </patternFill>
    </fill>
    <fill>
      <patternFill patternType="solid">
        <fgColor theme="7" tint="0.80001220740379042"/>
        <bgColor theme="4" tint="0.79998168889431442"/>
      </patternFill>
    </fill>
    <fill>
      <gradientFill degree="90">
        <stop position="0">
          <color theme="3" tint="0.40000610370189521"/>
        </stop>
        <stop position="1">
          <color theme="3" tint="0.59999389629810485"/>
        </stop>
      </gradientFill>
    </fill>
    <fill>
      <gradientFill degree="90">
        <stop position="0">
          <color theme="3" tint="0.59999389629810485"/>
        </stop>
        <stop position="1">
          <color theme="3" tint="0.80001220740379042"/>
        </stop>
      </gradientFill>
    </fill>
    <fill>
      <patternFill patternType="solid">
        <fgColor theme="3" tint="0.79998168889431442"/>
        <bgColor indexed="64"/>
      </patternFill>
    </fill>
    <fill>
      <patternFill patternType="solid">
        <fgColor theme="4" tint="0.59999389629810485"/>
        <bgColor indexed="64"/>
      </patternFill>
    </fill>
    <fill>
      <patternFill patternType="solid">
        <fgColor theme="2"/>
        <bgColor indexed="64"/>
      </patternFill>
    </fill>
    <fill>
      <patternFill patternType="solid">
        <fgColor rgb="FFFFFFFF"/>
        <bgColor indexed="64"/>
      </patternFill>
    </fill>
  </fills>
  <borders count="27">
    <border>
      <left/>
      <right/>
      <top/>
      <bottom/>
      <diagonal/>
    </border>
    <border>
      <left style="double">
        <color auto="1"/>
      </left>
      <right style="double">
        <color auto="1"/>
      </right>
      <top style="double">
        <color auto="1"/>
      </top>
      <bottom style="double">
        <color auto="1"/>
      </bottom>
      <diagonal/>
    </border>
    <border>
      <left style="thick">
        <color auto="1"/>
      </left>
      <right style="thick">
        <color auto="1"/>
      </right>
      <top style="thick">
        <color auto="1"/>
      </top>
      <bottom style="thick">
        <color auto="1"/>
      </bottom>
      <diagonal/>
    </border>
    <border>
      <left style="medium">
        <color rgb="FFFF0000"/>
      </left>
      <right style="medium">
        <color rgb="FFFF0000"/>
      </right>
      <top style="medium">
        <color rgb="FFFF0000"/>
      </top>
      <bottom style="medium">
        <color rgb="FFFF0000"/>
      </bottom>
      <diagonal/>
    </border>
    <border>
      <left style="thin">
        <color auto="1"/>
      </left>
      <right style="thin">
        <color auto="1"/>
      </right>
      <top style="thin">
        <color auto="1"/>
      </top>
      <bottom style="thin">
        <color auto="1"/>
      </bottom>
      <diagonal/>
    </border>
    <border>
      <left style="medium">
        <color theme="6" tint="0.39994506668294322"/>
      </left>
      <right style="medium">
        <color theme="6" tint="0.39994506668294322"/>
      </right>
      <top style="medium">
        <color theme="6" tint="0.39994506668294322"/>
      </top>
      <bottom style="medium">
        <color theme="6" tint="0.39994506668294322"/>
      </bottom>
      <diagonal/>
    </border>
    <border>
      <left style="medium">
        <color theme="6" tint="0.39994506668294322"/>
      </left>
      <right/>
      <top/>
      <bottom/>
      <diagonal/>
    </border>
    <border>
      <left style="medium">
        <color theme="6" tint="0.39994506668294322"/>
      </left>
      <right/>
      <top style="medium">
        <color theme="6" tint="0.39994506668294322"/>
      </top>
      <bottom style="medium">
        <color theme="6" tint="0.39994506668294322"/>
      </bottom>
      <diagonal/>
    </border>
    <border>
      <left style="double">
        <color theme="4" tint="0.39994506668294322"/>
      </left>
      <right style="double">
        <color theme="4" tint="0.39994506668294322"/>
      </right>
      <top/>
      <bottom/>
      <diagonal/>
    </border>
    <border>
      <left/>
      <right/>
      <top style="double">
        <color theme="4" tint="0.39991454817346722"/>
      </top>
      <bottom style="double">
        <color theme="4" tint="0.39991454817346722"/>
      </bottom>
      <diagonal/>
    </border>
    <border>
      <left/>
      <right/>
      <top/>
      <bottom style="thin">
        <color auto="1"/>
      </bottom>
      <diagonal/>
    </border>
    <border>
      <left/>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indexed="64"/>
      </left>
      <right/>
      <top/>
      <bottom style="thin">
        <color indexed="64"/>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
      <left style="thin">
        <color auto="1"/>
      </left>
      <right/>
      <top/>
      <bottom/>
      <diagonal/>
    </border>
    <border>
      <left/>
      <right/>
      <top style="double">
        <color theme="4" tint="0.39991454817346722"/>
      </top>
      <bottom/>
      <diagonal/>
    </border>
    <border>
      <left/>
      <right style="thin">
        <color indexed="64"/>
      </right>
      <top/>
      <bottom/>
      <diagonal/>
    </border>
  </borders>
  <cellStyleXfs count="7">
    <xf numFmtId="0" fontId="0" fillId="0" borderId="0"/>
    <xf numFmtId="0" fontId="1" fillId="4" borderId="1">
      <alignment horizontal="left"/>
    </xf>
    <xf numFmtId="0" fontId="1" fillId="4" borderId="2">
      <alignment horizontal="left"/>
    </xf>
    <xf numFmtId="0" fontId="1" fillId="6" borderId="3">
      <alignment horizontal="center"/>
    </xf>
    <xf numFmtId="0" fontId="1" fillId="6" borderId="4">
      <alignment horizontal="center"/>
    </xf>
    <xf numFmtId="0" fontId="1" fillId="4" borderId="2">
      <alignment horizontal="left"/>
    </xf>
    <xf numFmtId="0" fontId="4" fillId="0" borderId="0" applyNumberFormat="0" applyFill="0" applyBorder="0" applyAlignment="0" applyProtection="0"/>
  </cellStyleXfs>
  <cellXfs count="101">
    <xf numFmtId="0" fontId="0" fillId="0" borderId="0" xfId="0"/>
    <xf numFmtId="0" fontId="0" fillId="0" borderId="0" xfId="0" applyAlignment="1">
      <alignment horizontal="center"/>
    </xf>
    <xf numFmtId="0" fontId="0" fillId="3" borderId="0" xfId="0" applyFill="1" applyAlignment="1">
      <alignment horizontal="center"/>
    </xf>
    <xf numFmtId="0" fontId="0" fillId="4" borderId="0" xfId="0" applyFill="1" applyAlignment="1">
      <alignment horizontal="center"/>
    </xf>
    <xf numFmtId="0" fontId="0" fillId="3" borderId="0" xfId="0" applyFill="1" applyAlignment="1">
      <alignment horizontal="left"/>
    </xf>
    <xf numFmtId="0" fontId="0" fillId="4" borderId="0" xfId="0" applyFill="1" applyAlignment="1">
      <alignment horizontal="left"/>
    </xf>
    <xf numFmtId="0" fontId="0" fillId="0" borderId="0" xfId="0" applyAlignment="1">
      <alignment horizontal="left"/>
    </xf>
    <xf numFmtId="0" fontId="0" fillId="6" borderId="0" xfId="0" applyFill="1" applyAlignment="1">
      <alignment horizontal="center"/>
    </xf>
    <xf numFmtId="0" fontId="1" fillId="4" borderId="5" xfId="2" applyBorder="1">
      <alignment horizontal="left"/>
    </xf>
    <xf numFmtId="0" fontId="1" fillId="4" borderId="7" xfId="2" applyBorder="1">
      <alignment horizontal="left"/>
    </xf>
    <xf numFmtId="0" fontId="1" fillId="0" borderId="5" xfId="2" applyFill="1" applyBorder="1">
      <alignment horizontal="left"/>
    </xf>
    <xf numFmtId="0" fontId="2" fillId="2" borderId="0" xfId="0" applyFont="1" applyFill="1"/>
    <xf numFmtId="0" fontId="0" fillId="4" borderId="9" xfId="0" applyFill="1" applyBorder="1" applyAlignment="1">
      <alignment horizontal="left"/>
    </xf>
    <xf numFmtId="0" fontId="0" fillId="4" borderId="8" xfId="0" applyFill="1" applyBorder="1" applyAlignment="1">
      <alignment horizontal="left"/>
    </xf>
    <xf numFmtId="0" fontId="0" fillId="7" borderId="0" xfId="0" applyFill="1" applyAlignment="1">
      <alignment horizontal="left"/>
    </xf>
    <xf numFmtId="0" fontId="2" fillId="2" borderId="0" xfId="0" applyFont="1" applyFill="1" applyAlignment="1">
      <alignment horizontal="left"/>
    </xf>
    <xf numFmtId="0" fontId="0" fillId="6" borderId="0" xfId="0" applyFill="1" applyAlignment="1">
      <alignment horizontal="left"/>
    </xf>
    <xf numFmtId="0" fontId="0" fillId="7" borderId="0" xfId="0" applyFill="1" applyAlignment="1">
      <alignment horizontal="center"/>
    </xf>
    <xf numFmtId="0" fontId="0" fillId="5" borderId="4" xfId="0" applyFill="1" applyBorder="1"/>
    <xf numFmtId="0" fontId="3" fillId="8" borderId="4" xfId="0" applyFont="1" applyFill="1" applyBorder="1" applyAlignment="1">
      <alignment horizontal="left"/>
    </xf>
    <xf numFmtId="0" fontId="0" fillId="8" borderId="4" xfId="0" applyFill="1" applyBorder="1" applyAlignment="1">
      <alignment horizontal="center"/>
    </xf>
    <xf numFmtId="0" fontId="0" fillId="8" borderId="4" xfId="0" applyFill="1" applyBorder="1" applyAlignment="1">
      <alignment horizontal="left"/>
    </xf>
    <xf numFmtId="0" fontId="4" fillId="6" borderId="0" xfId="6" applyFill="1" applyAlignment="1">
      <alignment horizontal="left"/>
    </xf>
    <xf numFmtId="0" fontId="5" fillId="0" borderId="0" xfId="0" applyFont="1" applyAlignment="1">
      <alignment horizontal="center"/>
    </xf>
    <xf numFmtId="164" fontId="0" fillId="6" borderId="0" xfId="0" applyNumberFormat="1" applyFill="1" applyAlignment="1">
      <alignment horizontal="center"/>
    </xf>
    <xf numFmtId="164" fontId="0" fillId="0" borderId="0" xfId="0" applyNumberFormat="1"/>
    <xf numFmtId="0" fontId="0" fillId="0" borderId="4" xfId="0" applyBorder="1"/>
    <xf numFmtId="0" fontId="6" fillId="0" borderId="0" xfId="0" applyFont="1"/>
    <xf numFmtId="0" fontId="0" fillId="9" borderId="4" xfId="0" applyFill="1" applyBorder="1"/>
    <xf numFmtId="0" fontId="0" fillId="5" borderId="4" xfId="0" applyFill="1" applyBorder="1" applyAlignment="1">
      <alignment horizontal="center"/>
    </xf>
    <xf numFmtId="166" fontId="0" fillId="6" borderId="0" xfId="0" applyNumberFormat="1" applyFill="1" applyAlignment="1">
      <alignment horizontal="left"/>
    </xf>
    <xf numFmtId="0" fontId="4" fillId="0" borderId="0" xfId="6"/>
    <xf numFmtId="14" fontId="0" fillId="6" borderId="0" xfId="0" applyNumberFormat="1" applyFill="1" applyAlignment="1">
      <alignment horizontal="left"/>
    </xf>
    <xf numFmtId="164" fontId="0" fillId="5" borderId="4" xfId="0" applyNumberFormat="1" applyFill="1" applyBorder="1" applyAlignment="1">
      <alignment horizontal="center"/>
    </xf>
    <xf numFmtId="0" fontId="0" fillId="10" borderId="4" xfId="0" applyFill="1" applyBorder="1" applyAlignment="1">
      <alignment horizontal="center"/>
    </xf>
    <xf numFmtId="0" fontId="0" fillId="11" borderId="4" xfId="0" applyFill="1" applyBorder="1" applyAlignment="1">
      <alignment horizontal="center"/>
    </xf>
    <xf numFmtId="165" fontId="0" fillId="0" borderId="0" xfId="0" applyNumberFormat="1"/>
    <xf numFmtId="0" fontId="7" fillId="5" borderId="4" xfId="0" applyFont="1" applyFill="1" applyBorder="1" applyAlignment="1">
      <alignment horizontal="center"/>
    </xf>
    <xf numFmtId="0" fontId="7" fillId="0" borderId="0" xfId="0" applyFont="1"/>
    <xf numFmtId="0" fontId="8" fillId="0" borderId="0" xfId="0" applyFont="1"/>
    <xf numFmtId="0" fontId="9" fillId="0" borderId="0" xfId="0" applyFont="1" applyAlignment="1">
      <alignment vertical="center"/>
    </xf>
    <xf numFmtId="0" fontId="0" fillId="12" borderId="4" xfId="0" applyFill="1" applyBorder="1"/>
    <xf numFmtId="165" fontId="0" fillId="12" borderId="4" xfId="0" applyNumberFormat="1" applyFill="1" applyBorder="1"/>
    <xf numFmtId="167" fontId="0" fillId="5" borderId="4" xfId="0" applyNumberFormat="1" applyFill="1" applyBorder="1"/>
    <xf numFmtId="167" fontId="0" fillId="12" borderId="4" xfId="0" applyNumberFormat="1" applyFill="1" applyBorder="1"/>
    <xf numFmtId="167" fontId="0" fillId="0" borderId="0" xfId="0" applyNumberFormat="1"/>
    <xf numFmtId="0" fontId="10" fillId="0" borderId="0" xfId="0" applyFont="1"/>
    <xf numFmtId="165" fontId="7" fillId="0" borderId="0" xfId="0" applyNumberFormat="1" applyFont="1"/>
    <xf numFmtId="168" fontId="0" fillId="0" borderId="0" xfId="0" applyNumberFormat="1"/>
    <xf numFmtId="0" fontId="11" fillId="5" borderId="21" xfId="0" applyFont="1" applyFill="1" applyBorder="1"/>
    <xf numFmtId="0" fontId="11" fillId="5" borderId="22" xfId="0" applyFont="1" applyFill="1" applyBorder="1"/>
    <xf numFmtId="164" fontId="11" fillId="5" borderId="22" xfId="0" applyNumberFormat="1" applyFont="1" applyFill="1" applyBorder="1"/>
    <xf numFmtId="0" fontId="11" fillId="5" borderId="23" xfId="0" applyFont="1" applyFill="1" applyBorder="1"/>
    <xf numFmtId="0" fontId="0" fillId="5" borderId="21" xfId="0" applyFill="1" applyBorder="1"/>
    <xf numFmtId="0" fontId="0" fillId="5" borderId="22" xfId="0" applyFill="1" applyBorder="1"/>
    <xf numFmtId="164" fontId="0" fillId="5" borderId="22" xfId="0" applyNumberFormat="1" applyFill="1" applyBorder="1"/>
    <xf numFmtId="0" fontId="0" fillId="5" borderId="23" xfId="0" applyFill="1" applyBorder="1"/>
    <xf numFmtId="0" fontId="0" fillId="0" borderId="0" xfId="0" pivotButton="1"/>
    <xf numFmtId="0" fontId="0" fillId="12" borderId="24" xfId="0" applyFill="1" applyBorder="1"/>
    <xf numFmtId="0" fontId="6" fillId="13" borderId="0" xfId="0" applyFont="1" applyFill="1"/>
    <xf numFmtId="169" fontId="0" fillId="0" borderId="0" xfId="0" applyNumberFormat="1"/>
    <xf numFmtId="0" fontId="0" fillId="4" borderId="25" xfId="0" applyFill="1" applyBorder="1" applyAlignment="1">
      <alignment horizontal="left"/>
    </xf>
    <xf numFmtId="0" fontId="0" fillId="4" borderId="26" xfId="0" applyFill="1" applyBorder="1" applyAlignment="1">
      <alignment horizontal="left"/>
    </xf>
    <xf numFmtId="0" fontId="0" fillId="15" borderId="0" xfId="0" applyFill="1"/>
    <xf numFmtId="0" fontId="0" fillId="16" borderId="0" xfId="0" applyFill="1"/>
    <xf numFmtId="0" fontId="0" fillId="17" borderId="0" xfId="0" applyFill="1"/>
    <xf numFmtId="0" fontId="12" fillId="15" borderId="0" xfId="0" applyFont="1" applyFill="1" applyAlignment="1">
      <alignment horizontal="center"/>
    </xf>
    <xf numFmtId="0" fontId="13" fillId="0" borderId="0" xfId="0" applyFont="1"/>
    <xf numFmtId="0" fontId="0" fillId="18" borderId="4" xfId="0" applyFill="1" applyBorder="1"/>
    <xf numFmtId="0" fontId="7" fillId="18" borderId="4" xfId="0" applyFont="1" applyFill="1" applyBorder="1"/>
    <xf numFmtId="164" fontId="0" fillId="18" borderId="4" xfId="0" applyNumberFormat="1" applyFill="1" applyBorder="1"/>
    <xf numFmtId="0" fontId="0" fillId="19" borderId="0" xfId="0" applyFill="1"/>
    <xf numFmtId="0" fontId="0" fillId="12" borderId="0" xfId="0" applyFill="1"/>
    <xf numFmtId="165" fontId="11" fillId="5" borderId="22" xfId="0" applyNumberFormat="1" applyFont="1" applyFill="1" applyBorder="1"/>
    <xf numFmtId="165" fontId="0" fillId="5" borderId="22" xfId="0" applyNumberFormat="1" applyFill="1" applyBorder="1"/>
    <xf numFmtId="0" fontId="4" fillId="0" borderId="0" xfId="6" applyAlignment="1">
      <alignment vertical="center"/>
    </xf>
    <xf numFmtId="0" fontId="14" fillId="0" borderId="0" xfId="0" pivotButton="1" applyFont="1"/>
    <xf numFmtId="0" fontId="15" fillId="8" borderId="4" xfId="0" applyFont="1" applyFill="1" applyBorder="1" applyAlignment="1">
      <alignment horizontal="left"/>
    </xf>
    <xf numFmtId="0" fontId="15" fillId="8" borderId="4" xfId="0" applyFont="1" applyFill="1" applyBorder="1" applyAlignment="1">
      <alignment horizontal="center"/>
    </xf>
    <xf numFmtId="0" fontId="0" fillId="20" borderId="0" xfId="0" applyFill="1"/>
    <xf numFmtId="0" fontId="2" fillId="2" borderId="0" xfId="0" applyFont="1" applyFill="1" applyAlignment="1">
      <alignment horizontal="center"/>
    </xf>
    <xf numFmtId="0" fontId="2" fillId="2" borderId="0" xfId="0" applyFont="1" applyFill="1" applyAlignment="1">
      <alignment horizontal="left"/>
    </xf>
    <xf numFmtId="0" fontId="0" fillId="6" borderId="6" xfId="4" applyFont="1" applyBorder="1" applyAlignment="1">
      <alignment horizontal="left"/>
    </xf>
    <xf numFmtId="0" fontId="0" fillId="6" borderId="0" xfId="4" applyFont="1" applyBorder="1" applyAlignment="1">
      <alignment horizontal="left"/>
    </xf>
    <xf numFmtId="0" fontId="0" fillId="6" borderId="6" xfId="0" applyFill="1" applyBorder="1" applyAlignment="1">
      <alignment horizontal="left"/>
    </xf>
    <xf numFmtId="0" fontId="0" fillId="6" borderId="0" xfId="0" applyFill="1" applyAlignment="1">
      <alignment horizontal="left"/>
    </xf>
    <xf numFmtId="0" fontId="1" fillId="6" borderId="6" xfId="4" applyBorder="1" applyAlignment="1">
      <alignment horizontal="left"/>
    </xf>
    <xf numFmtId="0" fontId="1" fillId="6" borderId="0" xfId="4" applyBorder="1" applyAlignment="1">
      <alignment horizontal="left"/>
    </xf>
    <xf numFmtId="0" fontId="2" fillId="14" borderId="18" xfId="0" applyFont="1" applyFill="1" applyBorder="1" applyAlignment="1">
      <alignment horizontal="center"/>
    </xf>
    <xf numFmtId="0" fontId="2" fillId="14" borderId="19" xfId="0" applyFont="1" applyFill="1" applyBorder="1" applyAlignment="1">
      <alignment horizontal="center"/>
    </xf>
    <xf numFmtId="0" fontId="2" fillId="14" borderId="20" xfId="0" applyFont="1" applyFill="1" applyBorder="1" applyAlignment="1">
      <alignment horizontal="center"/>
    </xf>
    <xf numFmtId="0" fontId="2" fillId="2" borderId="12" xfId="0" applyFont="1" applyFill="1" applyBorder="1" applyAlignment="1">
      <alignment horizontal="center"/>
    </xf>
    <xf numFmtId="0" fontId="2" fillId="2" borderId="11" xfId="0" applyFont="1" applyFill="1" applyBorder="1" applyAlignment="1">
      <alignment horizontal="center"/>
    </xf>
    <xf numFmtId="0" fontId="2" fillId="2" borderId="13" xfId="0" applyFont="1" applyFill="1" applyBorder="1" applyAlignment="1">
      <alignment horizontal="center"/>
    </xf>
    <xf numFmtId="0" fontId="0" fillId="10" borderId="14" xfId="0" applyFill="1" applyBorder="1" applyAlignment="1">
      <alignment horizontal="center"/>
    </xf>
    <xf numFmtId="0" fontId="0" fillId="10" borderId="10" xfId="0" applyFill="1" applyBorder="1" applyAlignment="1">
      <alignment horizontal="center"/>
    </xf>
    <xf numFmtId="0" fontId="2" fillId="2" borderId="15" xfId="0" applyFont="1" applyFill="1" applyBorder="1" applyAlignment="1">
      <alignment horizontal="center"/>
    </xf>
    <xf numFmtId="0" fontId="2" fillId="2" borderId="16" xfId="0" applyFont="1" applyFill="1" applyBorder="1" applyAlignment="1">
      <alignment horizontal="center"/>
    </xf>
    <xf numFmtId="0" fontId="2" fillId="2" borderId="17" xfId="0" applyFont="1" applyFill="1" applyBorder="1" applyAlignment="1">
      <alignment horizontal="center"/>
    </xf>
    <xf numFmtId="0" fontId="2" fillId="2" borderId="4" xfId="0" applyFont="1" applyFill="1" applyBorder="1" applyAlignment="1">
      <alignment horizontal="center"/>
    </xf>
    <xf numFmtId="0" fontId="6" fillId="0" borderId="10" xfId="0" applyFont="1" applyBorder="1" applyAlignment="1">
      <alignment horizontal="center"/>
    </xf>
  </cellXfs>
  <cellStyles count="7">
    <cellStyle name="Field" xfId="4" xr:uid="{14AF4EDD-F7A0-484A-87A6-D90F1D990E30}"/>
    <cellStyle name="Hyperlink" xfId="6" builtinId="8"/>
    <cellStyle name="label" xfId="5" xr:uid="{5A8E1F7A-1949-48AE-82E2-78F00F4F7F85}"/>
    <cellStyle name="Normal" xfId="0" builtinId="0"/>
    <cellStyle name="Style 1" xfId="1" xr:uid="{D19909DB-207F-4E60-960A-14CC8CCB11F9}"/>
    <cellStyle name="Style 2" xfId="2" xr:uid="{8580A6D4-5E83-4F31-A322-F502D9E773DA}"/>
    <cellStyle name="Style 3" xfId="3" xr:uid="{C3879865-5A15-4455-BA45-62CD6288F448}"/>
  </cellStyles>
  <dxfs count="2">
    <dxf>
      <font>
        <color theme="4" tint="0.79998168889431442"/>
      </font>
    </dxf>
    <dxf>
      <numFmt numFmtId="167" formatCode="_([$KES]\ * #,##0.00_);_([$KES]\ * \(#,##0.00\);_([$KES]\ * &quot;-&quot;??_);_(@_)"/>
    </dxf>
  </dxfs>
  <tableStyles count="0" defaultTableStyle="TableStyleMedium2" defaultPivotStyle="PivotStyleLight16"/>
  <colors>
    <mruColors>
      <color rgb="FFFF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pivotCacheDefinition" Target="pivotCache/pivotCacheDefinition3.xml"/><Relationship Id="rId26" Type="http://schemas.openxmlformats.org/officeDocument/2006/relationships/styles" Target="styles.xml"/><Relationship Id="rId3" Type="http://schemas.openxmlformats.org/officeDocument/2006/relationships/worksheet" Target="worksheets/sheet3.xml"/><Relationship Id="rId21" Type="http://schemas.microsoft.com/office/2007/relationships/slicerCache" Target="slicerCaches/slicerCache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2.xml"/><Relationship Id="rId25" Type="http://schemas.openxmlformats.org/officeDocument/2006/relationships/theme" Target="theme/theme1.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0" Type="http://schemas.microsoft.com/office/2007/relationships/slicerCache" Target="slicerCaches/slicerCache1.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1/relationships/timelineCache" Target="timelineCaches/timelineCache2.xml"/><Relationship Id="rId32"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externalLink" Target="externalLinks/externalLink2.xml"/><Relationship Id="rId23" Type="http://schemas.microsoft.com/office/2011/relationships/timelineCache" Target="timelineCaches/timelineCache1.xml"/><Relationship Id="rId28"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pivotCacheDefinition" Target="pivotCache/pivotCacheDefinition4.xml"/><Relationship Id="rId31"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microsoft.com/office/2007/relationships/slicerCache" Target="slicerCaches/slicerCache3.xml"/><Relationship Id="rId27" Type="http://schemas.openxmlformats.org/officeDocument/2006/relationships/sharedStrings" Target="sharedStrings.xml"/><Relationship Id="rId30" Type="http://schemas.openxmlformats.org/officeDocument/2006/relationships/customXml" Target="../customXml/item1.xml"/><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[Rentals (1).xlsm]baseline!PivotTable2</c:name>
    <c:fmtId val="2"/>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baseline!$B$3:$B$4</c:f>
              <c:strCache>
                <c:ptCount val="1"/>
                <c:pt idx="0">
                  <c:v>Expence</c:v>
                </c:pt>
              </c:strCache>
            </c:strRef>
          </c:tx>
          <c:spPr>
            <a:solidFill>
              <a:schemeClr val="accent1"/>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baseline!$A$5:$A$11</c:f>
              <c:strCache>
                <c:ptCount val="7"/>
                <c:pt idx="0">
                  <c:v>Ann</c:v>
                </c:pt>
                <c:pt idx="1">
                  <c:v>George</c:v>
                </c:pt>
                <c:pt idx="2">
                  <c:v>Jennifer</c:v>
                </c:pt>
                <c:pt idx="3">
                  <c:v>JM </c:v>
                </c:pt>
                <c:pt idx="4">
                  <c:v>Maria </c:v>
                </c:pt>
                <c:pt idx="5">
                  <c:v>Sam</c:v>
                </c:pt>
                <c:pt idx="6">
                  <c:v>Wangas</c:v>
                </c:pt>
              </c:strCache>
            </c:strRef>
          </c:cat>
          <c:val>
            <c:numRef>
              <c:f>baseline!$B$5:$B$11</c:f>
              <c:numCache>
                <c:formatCode>_([$KES]\ * #,##0_);_([$KES]\ * \(#,##0\);_([$KES]\ * "-"_);_(@_)</c:formatCode>
                <c:ptCount val="7"/>
                <c:pt idx="1">
                  <c:v>80716</c:v>
                </c:pt>
                <c:pt idx="2">
                  <c:v>175919</c:v>
                </c:pt>
                <c:pt idx="3">
                  <c:v>266887</c:v>
                </c:pt>
                <c:pt idx="4">
                  <c:v>186072</c:v>
                </c:pt>
                <c:pt idx="5">
                  <c:v>75271</c:v>
                </c:pt>
                <c:pt idx="6">
                  <c:v>150892</c:v>
                </c:pt>
              </c:numCache>
            </c:numRef>
          </c:val>
          <c:extLst>
            <c:ext xmlns:c16="http://schemas.microsoft.com/office/drawing/2014/chart" uri="{C3380CC4-5D6E-409C-BE32-E72D297353CC}">
              <c16:uniqueId val="{00000009-8762-4CB4-9CAA-432EBFDF8081}"/>
            </c:ext>
          </c:extLst>
        </c:ser>
        <c:ser>
          <c:idx val="1"/>
          <c:order val="1"/>
          <c:tx>
            <c:strRef>
              <c:f>baseline!$C$3:$C$4</c:f>
              <c:strCache>
                <c:ptCount val="1"/>
                <c:pt idx="0">
                  <c:v>Income</c:v>
                </c:pt>
              </c:strCache>
            </c:strRef>
          </c:tx>
          <c:spPr>
            <a:solidFill>
              <a:schemeClr val="accent3"/>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baseline!$A$5:$A$11</c:f>
              <c:strCache>
                <c:ptCount val="7"/>
                <c:pt idx="0">
                  <c:v>Ann</c:v>
                </c:pt>
                <c:pt idx="1">
                  <c:v>George</c:v>
                </c:pt>
                <c:pt idx="2">
                  <c:v>Jennifer</c:v>
                </c:pt>
                <c:pt idx="3">
                  <c:v>JM </c:v>
                </c:pt>
                <c:pt idx="4">
                  <c:v>Maria </c:v>
                </c:pt>
                <c:pt idx="5">
                  <c:v>Sam</c:v>
                </c:pt>
                <c:pt idx="6">
                  <c:v>Wangas</c:v>
                </c:pt>
              </c:strCache>
            </c:strRef>
          </c:cat>
          <c:val>
            <c:numRef>
              <c:f>baseline!$C$5:$C$11</c:f>
              <c:numCache>
                <c:formatCode>_([$KES]\ * #,##0_);_([$KES]\ * \(#,##0\);_([$KES]\ * "-"_);_(@_)</c:formatCode>
                <c:ptCount val="7"/>
                <c:pt idx="0">
                  <c:v>92966</c:v>
                </c:pt>
                <c:pt idx="4">
                  <c:v>90784</c:v>
                </c:pt>
                <c:pt idx="6">
                  <c:v>87197</c:v>
                </c:pt>
              </c:numCache>
            </c:numRef>
          </c:val>
          <c:extLst>
            <c:ext xmlns:c16="http://schemas.microsoft.com/office/drawing/2014/chart" uri="{C3380CC4-5D6E-409C-BE32-E72D297353CC}">
              <c16:uniqueId val="{00000001-98A2-44D4-9839-87BCA9E3CBCF}"/>
            </c:ext>
          </c:extLst>
        </c:ser>
        <c:dLbls>
          <c:dLblPos val="outEnd"/>
          <c:showLegendKey val="0"/>
          <c:showVal val="1"/>
          <c:showCatName val="0"/>
          <c:showSerName val="0"/>
          <c:showPercent val="0"/>
          <c:showBubbleSize val="0"/>
        </c:dLbls>
        <c:gapWidth val="444"/>
        <c:overlap val="-90"/>
        <c:axId val="766934591"/>
        <c:axId val="766940831"/>
      </c:barChart>
      <c:catAx>
        <c:axId val="766934591"/>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766940831"/>
        <c:crosses val="autoZero"/>
        <c:auto val="1"/>
        <c:lblAlgn val="ctr"/>
        <c:lblOffset val="100"/>
        <c:noMultiLvlLbl val="0"/>
      </c:catAx>
      <c:valAx>
        <c:axId val="766940831"/>
        <c:scaling>
          <c:orientation val="minMax"/>
        </c:scaling>
        <c:delete val="1"/>
        <c:axPos val="l"/>
        <c:numFmt formatCode="_([$KES]\ * #,##0_);_([$KES]\ * \(#,##0\);_([$KES]\ * &quot;-&quot;_);_(@_)" sourceLinked="1"/>
        <c:majorTickMark val="none"/>
        <c:minorTickMark val="none"/>
        <c:tickLblPos val="nextTo"/>
        <c:crossAx val="76693459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[Rentals (1).xlsm]baseline!PivotTable3</c:name>
    <c:fmtId val="2"/>
  </c:pivotSource>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US" sz="900"/>
              <a:t>Total number of Properties</a:t>
            </a:r>
          </a:p>
        </c:rich>
      </c:tx>
      <c:layout>
        <c:manualLayout>
          <c:xMode val="edge"/>
          <c:yMode val="edge"/>
          <c:x val="0.34555043864039531"/>
          <c:y val="2.6757072032662588E-2"/>
        </c:manualLayout>
      </c:layout>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6"/>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7213857233043383E-2"/>
          <c:y val="0.13786818314377369"/>
          <c:w val="0.75106961885738899"/>
          <c:h val="0.75325787401574806"/>
        </c:manualLayout>
      </c:layout>
      <c:barChart>
        <c:barDir val="col"/>
        <c:grouping val="clustered"/>
        <c:varyColors val="0"/>
        <c:ser>
          <c:idx val="0"/>
          <c:order val="0"/>
          <c:tx>
            <c:strRef>
              <c:f>baseline!$F$3</c:f>
              <c:strCache>
                <c:ptCount val="1"/>
                <c:pt idx="0">
                  <c:v>Total</c:v>
                </c:pt>
              </c:strCache>
            </c:strRef>
          </c:tx>
          <c:spPr>
            <a:solidFill>
              <a:schemeClr val="accent1"/>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baseline!$E$4:$E$8</c:f>
              <c:strCache>
                <c:ptCount val="4"/>
                <c:pt idx="0">
                  <c:v>Eldoret</c:v>
                </c:pt>
                <c:pt idx="1">
                  <c:v>Kisumu</c:v>
                </c:pt>
                <c:pt idx="2">
                  <c:v>Mombasa</c:v>
                </c:pt>
                <c:pt idx="3">
                  <c:v>Nairobi</c:v>
                </c:pt>
              </c:strCache>
            </c:strRef>
          </c:cat>
          <c:val>
            <c:numRef>
              <c:f>baseline!$F$4:$F$8</c:f>
              <c:numCache>
                <c:formatCode>General</c:formatCode>
                <c:ptCount val="4"/>
                <c:pt idx="0">
                  <c:v>4</c:v>
                </c:pt>
                <c:pt idx="1">
                  <c:v>4</c:v>
                </c:pt>
                <c:pt idx="2">
                  <c:v>3</c:v>
                </c:pt>
                <c:pt idx="3">
                  <c:v>3</c:v>
                </c:pt>
              </c:numCache>
            </c:numRef>
          </c:val>
          <c:extLst>
            <c:ext xmlns:c16="http://schemas.microsoft.com/office/drawing/2014/chart" uri="{C3380CC4-5D6E-409C-BE32-E72D297353CC}">
              <c16:uniqueId val="{00000000-A6AF-4AED-8075-EEEAE0745887}"/>
            </c:ext>
          </c:extLst>
        </c:ser>
        <c:dLbls>
          <c:dLblPos val="outEnd"/>
          <c:showLegendKey val="0"/>
          <c:showVal val="1"/>
          <c:showCatName val="0"/>
          <c:showSerName val="0"/>
          <c:showPercent val="0"/>
          <c:showBubbleSize val="0"/>
        </c:dLbls>
        <c:gapWidth val="444"/>
        <c:overlap val="-90"/>
        <c:axId val="152304159"/>
        <c:axId val="152301663"/>
      </c:barChart>
      <c:catAx>
        <c:axId val="15230415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152301663"/>
        <c:crosses val="autoZero"/>
        <c:auto val="1"/>
        <c:lblAlgn val="ctr"/>
        <c:lblOffset val="100"/>
        <c:noMultiLvlLbl val="0"/>
      </c:catAx>
      <c:valAx>
        <c:axId val="152301663"/>
        <c:scaling>
          <c:orientation val="minMax"/>
        </c:scaling>
        <c:delete val="1"/>
        <c:axPos val="l"/>
        <c:numFmt formatCode="General" sourceLinked="1"/>
        <c:majorTickMark val="none"/>
        <c:minorTickMark val="none"/>
        <c:tickLblPos val="nextTo"/>
        <c:crossAx val="15230415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[Rentals (1).xlsm]baseline!PivotTable10</c:name>
    <c:fmtId val="2"/>
  </c:pivotSource>
  <c:chart>
    <c:autoTitleDeleted val="1"/>
    <c:pivotFmts>
      <c:pivotFmt>
        <c:idx val="0"/>
        <c:spPr>
          <a:pattFill prst="ltUpDiag">
            <a:fgClr>
              <a:schemeClr val="accent1"/>
            </a:fgClr>
            <a:bgClr>
              <a:schemeClr val="accent1">
                <a:lumMod val="20000"/>
                <a:lumOff val="80000"/>
              </a:schemeClr>
            </a:bgClr>
          </a:patt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pattFill prst="ltUpDiag">
            <a:fgClr>
              <a:schemeClr val="accent1"/>
            </a:fgClr>
            <a:bgClr>
              <a:schemeClr val="accent1">
                <a:lumMod val="20000"/>
                <a:lumOff val="80000"/>
              </a:schemeClr>
            </a:bgClr>
          </a:patt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6"/>
          <c:spPr>
            <a:solidFill>
              <a:schemeClr val="accent1"/>
            </a:solidFill>
            <a:ln w="9525">
              <a:solidFill>
                <a:schemeClr val="l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baseline!$O$3</c:f>
              <c:strCache>
                <c:ptCount val="1"/>
                <c:pt idx="0">
                  <c:v>Total</c:v>
                </c:pt>
              </c:strCache>
            </c:strRef>
          </c:tx>
          <c:spPr>
            <a:ln w="28575" cap="rnd">
              <a:solidFill>
                <a:schemeClr val="accent1"/>
              </a:solidFill>
              <a:round/>
            </a:ln>
            <a:effectLst/>
          </c:spPr>
          <c:marker>
            <c:symbol val="circle"/>
            <c:size val="6"/>
            <c:spPr>
              <a:solidFill>
                <a:schemeClr val="accent1"/>
              </a:solidFill>
              <a:ln w="9525">
                <a:solidFill>
                  <a:schemeClr val="lt1"/>
                </a:solidFill>
              </a:ln>
              <a:effectLst/>
            </c:spPr>
          </c:marker>
          <c:cat>
            <c:strRef>
              <c:f>baseline!$N$4:$N$7</c:f>
              <c:strCache>
                <c:ptCount val="4"/>
                <c:pt idx="0">
                  <c:v>Levy</c:v>
                </c:pt>
                <c:pt idx="1">
                  <c:v>Power</c:v>
                </c:pt>
                <c:pt idx="2">
                  <c:v>Rent</c:v>
                </c:pt>
                <c:pt idx="3">
                  <c:v>Water</c:v>
                </c:pt>
              </c:strCache>
            </c:strRef>
          </c:cat>
          <c:val>
            <c:numRef>
              <c:f>baseline!$O$4:$O$7</c:f>
              <c:numCache>
                <c:formatCode>General</c:formatCode>
                <c:ptCount val="4"/>
                <c:pt idx="0">
                  <c:v>818229</c:v>
                </c:pt>
                <c:pt idx="1">
                  <c:v>683497</c:v>
                </c:pt>
                <c:pt idx="2">
                  <c:v>340361</c:v>
                </c:pt>
                <c:pt idx="3">
                  <c:v>359623</c:v>
                </c:pt>
              </c:numCache>
            </c:numRef>
          </c:val>
          <c:smooth val="0"/>
          <c:extLst>
            <c:ext xmlns:c16="http://schemas.microsoft.com/office/drawing/2014/chart" uri="{C3380CC4-5D6E-409C-BE32-E72D297353CC}">
              <c16:uniqueId val="{00000000-574D-4DF3-8CC5-7EA02107CF7E}"/>
            </c:ext>
          </c:extLst>
        </c:ser>
        <c:dLbls>
          <c:showLegendKey val="0"/>
          <c:showVal val="0"/>
          <c:showCatName val="0"/>
          <c:showSerName val="0"/>
          <c:showPercent val="0"/>
          <c:showBubbleSize val="0"/>
        </c:dLbls>
        <c:upDownBars>
          <c:gapWidth val="150"/>
          <c:upBars>
            <c:spPr>
              <a:solidFill>
                <a:schemeClr val="lt1"/>
              </a:solidFill>
              <a:ln w="9525">
                <a:solidFill>
                  <a:schemeClr val="tx1">
                    <a:lumMod val="50000"/>
                    <a:lumOff val="50000"/>
                  </a:schemeClr>
                </a:solidFill>
              </a:ln>
              <a:effectLst/>
            </c:spPr>
          </c:upBars>
          <c:downBars>
            <c:spPr>
              <a:solidFill>
                <a:schemeClr val="dk1">
                  <a:lumMod val="75000"/>
                  <a:lumOff val="25000"/>
                </a:schemeClr>
              </a:solidFill>
              <a:ln w="9525">
                <a:solidFill>
                  <a:schemeClr val="tx1">
                    <a:lumMod val="50000"/>
                    <a:lumOff val="50000"/>
                  </a:schemeClr>
                </a:solidFill>
              </a:ln>
              <a:effectLst/>
            </c:spPr>
          </c:downBars>
        </c:upDownBars>
        <c:marker val="1"/>
        <c:smooth val="0"/>
        <c:axId val="2084623311"/>
        <c:axId val="2084629135"/>
      </c:lineChart>
      <c:catAx>
        <c:axId val="2084623311"/>
        <c:scaling>
          <c:orientation val="minMax"/>
        </c:scaling>
        <c:delete val="0"/>
        <c:axPos val="b"/>
        <c:numFmt formatCode="General" sourceLinked="1"/>
        <c:majorTickMark val="out"/>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4629135"/>
        <c:crosses val="autoZero"/>
        <c:auto val="1"/>
        <c:lblAlgn val="ctr"/>
        <c:lblOffset val="100"/>
        <c:noMultiLvlLbl val="0"/>
      </c:catAx>
      <c:valAx>
        <c:axId val="2084629135"/>
        <c:scaling>
          <c:orientation val="minMax"/>
        </c:scaling>
        <c:delete val="0"/>
        <c:axPos val="l"/>
        <c:majorGridlines>
          <c:spPr>
            <a:ln>
              <a:solidFill>
                <a:schemeClr val="tx1">
                  <a:lumMod val="15000"/>
                  <a:lumOff val="85000"/>
                </a:schemeClr>
              </a:solidFill>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4623311"/>
        <c:crosses val="autoZero"/>
        <c:crossBetween val="between"/>
      </c:valAx>
      <c:dTable>
        <c:showHorzBorder val="1"/>
        <c:showVertBorder val="1"/>
        <c:showOutline val="1"/>
        <c:showKeys val="1"/>
        <c:spPr>
          <a:noFill/>
          <a:ln w="9525">
            <a:solidFill>
              <a:schemeClr val="tx1">
                <a:lumMod val="15000"/>
                <a:lumOff val="85000"/>
              </a:schemeClr>
            </a:solid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[Rentals (1).xlsm]baseline!PivotTable6</c:name>
    <c:fmtId val="2"/>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baseline!$I$3:$I$4</c:f>
              <c:strCache>
                <c:ptCount val="1"/>
                <c:pt idx="0">
                  <c:v>Levy</c:v>
                </c:pt>
              </c:strCache>
            </c:strRef>
          </c:tx>
          <c:spPr>
            <a:solidFill>
              <a:schemeClr val="accent1"/>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baseline!$H$5:$H$19</c:f>
              <c:strCache>
                <c:ptCount val="15"/>
                <c:pt idx="0">
                  <c:v>A</c:v>
                </c:pt>
                <c:pt idx="1">
                  <c:v>D</c:v>
                </c:pt>
                <c:pt idx="2">
                  <c:v>E</c:v>
                </c:pt>
                <c:pt idx="3">
                  <c:v>F</c:v>
                </c:pt>
                <c:pt idx="4">
                  <c:v>I</c:v>
                </c:pt>
                <c:pt idx="5">
                  <c:v>J</c:v>
                </c:pt>
                <c:pt idx="6">
                  <c:v>K</c:v>
                </c:pt>
                <c:pt idx="7">
                  <c:v>M</c:v>
                </c:pt>
                <c:pt idx="8">
                  <c:v>N</c:v>
                </c:pt>
                <c:pt idx="9">
                  <c:v>O</c:v>
                </c:pt>
                <c:pt idx="10">
                  <c:v>P</c:v>
                </c:pt>
                <c:pt idx="11">
                  <c:v>Q</c:v>
                </c:pt>
                <c:pt idx="12">
                  <c:v>S</c:v>
                </c:pt>
                <c:pt idx="13">
                  <c:v>U</c:v>
                </c:pt>
                <c:pt idx="14">
                  <c:v>W</c:v>
                </c:pt>
              </c:strCache>
            </c:strRef>
          </c:cat>
          <c:val>
            <c:numRef>
              <c:f>baseline!$I$5:$I$19</c:f>
              <c:numCache>
                <c:formatCode>General</c:formatCode>
                <c:ptCount val="15"/>
                <c:pt idx="1">
                  <c:v>96339</c:v>
                </c:pt>
                <c:pt idx="2">
                  <c:v>99755</c:v>
                </c:pt>
                <c:pt idx="3">
                  <c:v>93530</c:v>
                </c:pt>
                <c:pt idx="9">
                  <c:v>99161</c:v>
                </c:pt>
                <c:pt idx="10">
                  <c:v>97252</c:v>
                </c:pt>
                <c:pt idx="11">
                  <c:v>77004</c:v>
                </c:pt>
                <c:pt idx="12">
                  <c:v>77236</c:v>
                </c:pt>
                <c:pt idx="13">
                  <c:v>91640</c:v>
                </c:pt>
                <c:pt idx="14">
                  <c:v>86312</c:v>
                </c:pt>
              </c:numCache>
            </c:numRef>
          </c:val>
          <c:extLst>
            <c:ext xmlns:c16="http://schemas.microsoft.com/office/drawing/2014/chart" uri="{C3380CC4-5D6E-409C-BE32-E72D297353CC}">
              <c16:uniqueId val="{00000000-525B-46CF-B4CC-E8C9512FD94E}"/>
            </c:ext>
          </c:extLst>
        </c:ser>
        <c:ser>
          <c:idx val="1"/>
          <c:order val="1"/>
          <c:tx>
            <c:strRef>
              <c:f>baseline!$J$3:$J$4</c:f>
              <c:strCache>
                <c:ptCount val="1"/>
                <c:pt idx="0">
                  <c:v>Power</c:v>
                </c:pt>
              </c:strCache>
            </c:strRef>
          </c:tx>
          <c:spPr>
            <a:solidFill>
              <a:schemeClr val="accent2"/>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baseline!$H$5:$H$19</c:f>
              <c:strCache>
                <c:ptCount val="15"/>
                <c:pt idx="0">
                  <c:v>A</c:v>
                </c:pt>
                <c:pt idx="1">
                  <c:v>D</c:v>
                </c:pt>
                <c:pt idx="2">
                  <c:v>E</c:v>
                </c:pt>
                <c:pt idx="3">
                  <c:v>F</c:v>
                </c:pt>
                <c:pt idx="4">
                  <c:v>I</c:v>
                </c:pt>
                <c:pt idx="5">
                  <c:v>J</c:v>
                </c:pt>
                <c:pt idx="6">
                  <c:v>K</c:v>
                </c:pt>
                <c:pt idx="7">
                  <c:v>M</c:v>
                </c:pt>
                <c:pt idx="8">
                  <c:v>N</c:v>
                </c:pt>
                <c:pt idx="9">
                  <c:v>O</c:v>
                </c:pt>
                <c:pt idx="10">
                  <c:v>P</c:v>
                </c:pt>
                <c:pt idx="11">
                  <c:v>Q</c:v>
                </c:pt>
                <c:pt idx="12">
                  <c:v>S</c:v>
                </c:pt>
                <c:pt idx="13">
                  <c:v>U</c:v>
                </c:pt>
                <c:pt idx="14">
                  <c:v>W</c:v>
                </c:pt>
              </c:strCache>
            </c:strRef>
          </c:cat>
          <c:val>
            <c:numRef>
              <c:f>baseline!$J$5:$J$19</c:f>
              <c:numCache>
                <c:formatCode>General</c:formatCode>
                <c:ptCount val="15"/>
                <c:pt idx="0">
                  <c:v>156294</c:v>
                </c:pt>
                <c:pt idx="2">
                  <c:v>97726</c:v>
                </c:pt>
                <c:pt idx="5">
                  <c:v>154776</c:v>
                </c:pt>
                <c:pt idx="6">
                  <c:v>88013</c:v>
                </c:pt>
                <c:pt idx="7">
                  <c:v>89677</c:v>
                </c:pt>
                <c:pt idx="12">
                  <c:v>97011</c:v>
                </c:pt>
              </c:numCache>
            </c:numRef>
          </c:val>
          <c:extLst>
            <c:ext xmlns:c16="http://schemas.microsoft.com/office/drawing/2014/chart" uri="{C3380CC4-5D6E-409C-BE32-E72D297353CC}">
              <c16:uniqueId val="{00000001-525B-46CF-B4CC-E8C9512FD94E}"/>
            </c:ext>
          </c:extLst>
        </c:ser>
        <c:ser>
          <c:idx val="2"/>
          <c:order val="2"/>
          <c:tx>
            <c:strRef>
              <c:f>baseline!$K$3:$K$4</c:f>
              <c:strCache>
                <c:ptCount val="1"/>
                <c:pt idx="0">
                  <c:v>Rent</c:v>
                </c:pt>
              </c:strCache>
            </c:strRef>
          </c:tx>
          <c:spPr>
            <a:solidFill>
              <a:schemeClr val="accent3"/>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baseline!$H$5:$H$19</c:f>
              <c:strCache>
                <c:ptCount val="15"/>
                <c:pt idx="0">
                  <c:v>A</c:v>
                </c:pt>
                <c:pt idx="1">
                  <c:v>D</c:v>
                </c:pt>
                <c:pt idx="2">
                  <c:v>E</c:v>
                </c:pt>
                <c:pt idx="3">
                  <c:v>F</c:v>
                </c:pt>
                <c:pt idx="4">
                  <c:v>I</c:v>
                </c:pt>
                <c:pt idx="5">
                  <c:v>J</c:v>
                </c:pt>
                <c:pt idx="6">
                  <c:v>K</c:v>
                </c:pt>
                <c:pt idx="7">
                  <c:v>M</c:v>
                </c:pt>
                <c:pt idx="8">
                  <c:v>N</c:v>
                </c:pt>
                <c:pt idx="9">
                  <c:v>O</c:v>
                </c:pt>
                <c:pt idx="10">
                  <c:v>P</c:v>
                </c:pt>
                <c:pt idx="11">
                  <c:v>Q</c:v>
                </c:pt>
                <c:pt idx="12">
                  <c:v>S</c:v>
                </c:pt>
                <c:pt idx="13">
                  <c:v>U</c:v>
                </c:pt>
                <c:pt idx="14">
                  <c:v>W</c:v>
                </c:pt>
              </c:strCache>
            </c:strRef>
          </c:cat>
          <c:val>
            <c:numRef>
              <c:f>baseline!$K$5:$K$19</c:f>
              <c:numCache>
                <c:formatCode>General</c:formatCode>
                <c:ptCount val="15"/>
                <c:pt idx="1">
                  <c:v>86784</c:v>
                </c:pt>
                <c:pt idx="4">
                  <c:v>91953</c:v>
                </c:pt>
                <c:pt idx="5">
                  <c:v>80120</c:v>
                </c:pt>
                <c:pt idx="8">
                  <c:v>81504</c:v>
                </c:pt>
              </c:numCache>
            </c:numRef>
          </c:val>
          <c:extLst>
            <c:ext xmlns:c16="http://schemas.microsoft.com/office/drawing/2014/chart" uri="{C3380CC4-5D6E-409C-BE32-E72D297353CC}">
              <c16:uniqueId val="{00000001-6F39-4F9D-A1D6-D865AAC87455}"/>
            </c:ext>
          </c:extLst>
        </c:ser>
        <c:ser>
          <c:idx val="3"/>
          <c:order val="3"/>
          <c:tx>
            <c:strRef>
              <c:f>baseline!$L$3:$L$4</c:f>
              <c:strCache>
                <c:ptCount val="1"/>
                <c:pt idx="0">
                  <c:v>Water</c:v>
                </c:pt>
              </c:strCache>
            </c:strRef>
          </c:tx>
          <c:spPr>
            <a:solidFill>
              <a:schemeClr val="accent4"/>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baseline!$H$5:$H$19</c:f>
              <c:strCache>
                <c:ptCount val="15"/>
                <c:pt idx="0">
                  <c:v>A</c:v>
                </c:pt>
                <c:pt idx="1">
                  <c:v>D</c:v>
                </c:pt>
                <c:pt idx="2">
                  <c:v>E</c:v>
                </c:pt>
                <c:pt idx="3">
                  <c:v>F</c:v>
                </c:pt>
                <c:pt idx="4">
                  <c:v>I</c:v>
                </c:pt>
                <c:pt idx="5">
                  <c:v>J</c:v>
                </c:pt>
                <c:pt idx="6">
                  <c:v>K</c:v>
                </c:pt>
                <c:pt idx="7">
                  <c:v>M</c:v>
                </c:pt>
                <c:pt idx="8">
                  <c:v>N</c:v>
                </c:pt>
                <c:pt idx="9">
                  <c:v>O</c:v>
                </c:pt>
                <c:pt idx="10">
                  <c:v>P</c:v>
                </c:pt>
                <c:pt idx="11">
                  <c:v>Q</c:v>
                </c:pt>
                <c:pt idx="12">
                  <c:v>S</c:v>
                </c:pt>
                <c:pt idx="13">
                  <c:v>U</c:v>
                </c:pt>
                <c:pt idx="14">
                  <c:v>W</c:v>
                </c:pt>
              </c:strCache>
            </c:strRef>
          </c:cat>
          <c:val>
            <c:numRef>
              <c:f>baseline!$L$5:$L$19</c:f>
              <c:numCache>
                <c:formatCode>General</c:formatCode>
                <c:ptCount val="15"/>
                <c:pt idx="2">
                  <c:v>91449</c:v>
                </c:pt>
                <c:pt idx="4">
                  <c:v>76690</c:v>
                </c:pt>
                <c:pt idx="9">
                  <c:v>95150</c:v>
                </c:pt>
                <c:pt idx="13">
                  <c:v>96334</c:v>
                </c:pt>
              </c:numCache>
            </c:numRef>
          </c:val>
          <c:extLst>
            <c:ext xmlns:c16="http://schemas.microsoft.com/office/drawing/2014/chart" uri="{C3380CC4-5D6E-409C-BE32-E72D297353CC}">
              <c16:uniqueId val="{00000002-6F39-4F9D-A1D6-D865AAC87455}"/>
            </c:ext>
          </c:extLst>
        </c:ser>
        <c:dLbls>
          <c:dLblPos val="outEnd"/>
          <c:showLegendKey val="0"/>
          <c:showVal val="1"/>
          <c:showCatName val="0"/>
          <c:showSerName val="0"/>
          <c:showPercent val="0"/>
          <c:showBubbleSize val="0"/>
        </c:dLbls>
        <c:gapWidth val="444"/>
        <c:overlap val="-90"/>
        <c:axId val="1669434431"/>
        <c:axId val="1669433599"/>
      </c:barChart>
      <c:catAx>
        <c:axId val="1669434431"/>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Units</a:t>
                </a:r>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1669433599"/>
        <c:crosses val="autoZero"/>
        <c:auto val="1"/>
        <c:lblAlgn val="ctr"/>
        <c:lblOffset val="100"/>
        <c:noMultiLvlLbl val="0"/>
      </c:catAx>
      <c:valAx>
        <c:axId val="1669433599"/>
        <c:scaling>
          <c:orientation val="minMax"/>
        </c:scaling>
        <c:delete val="1"/>
        <c:axPos val="l"/>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KES</a:t>
                </a:r>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crossAx val="166943443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bodyPr rot="-5400000" spcFirstLastPara="1" vertOverflow="clip" horzOverflow="clip" vert="horz" wrap="square" lIns="38100" tIns="19050" rIns="38100" bIns="19050" anchor="ctr" anchorCtr="1">
      <a:spAutoFit/>
    </cs:bodyPr>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0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bodyPr rot="-5400000" spcFirstLastPara="1" vertOverflow="clip" horzOverflow="clip" vert="horz" wrap="square" lIns="38100" tIns="19050" rIns="38100" bIns="19050" anchor="ctr" anchorCtr="1">
      <a:spAutoFit/>
    </cs:bodyPr>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52">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ltUpDiag">
        <a:fgClr>
          <a:schemeClr val="phClr"/>
        </a:fgClr>
        <a:bgClr>
          <a:schemeClr val="phClr">
            <a:lumMod val="20000"/>
            <a:lumOff val="80000"/>
          </a:schemeClr>
        </a:bgClr>
      </a:pattFill>
      <a:ln w="19050">
        <a:solidFill>
          <a:schemeClr val="lt1"/>
        </a:solidFill>
      </a:ln>
      <a:effectLst>
        <a:innerShdw blurRad="114300">
          <a:schemeClr val="phClr"/>
        </a:innerShdw>
      </a:effectLst>
    </cs:spPr>
  </cs:dataPoint>
  <cs:dataPoint3D>
    <cs:lnRef idx="0"/>
    <cs:fillRef idx="0">
      <cs:styleClr val="auto"/>
    </cs:fillRef>
    <cs:effectRef idx="0"/>
    <cs:fontRef idx="minor">
      <a:schemeClr val="dk1"/>
    </cs:fontRef>
    <cs:spPr>
      <a:pattFill prst="ltUpDiag">
        <a:fgClr>
          <a:schemeClr val="phClr"/>
        </a:fgClr>
        <a:bgClr>
          <a:schemeClr val="phClr">
            <a:lumMod val="20000"/>
            <a:lumOff val="80000"/>
          </a:schemeClr>
        </a:bgClr>
      </a:pattFill>
      <a:ln w="19050">
        <a:solidFill>
          <a:schemeClr val="lt1"/>
        </a:solidFill>
      </a:ln>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0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bodyPr rot="-5400000" spcFirstLastPara="1" vertOverflow="clip" horzOverflow="clip" vert="horz" wrap="square" lIns="38100" tIns="19050" rIns="38100" bIns="19050" anchor="ctr" anchorCtr="1">
      <a:spAutoFit/>
    </cs:bodyPr>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8" Type="http://schemas.openxmlformats.org/officeDocument/2006/relationships/hyperlink" Target="https://www.youtube.com/watch?v=oZGPFpOMkrQ&amp;t=703s" TargetMode="External"/><Relationship Id="rId13" Type="http://schemas.openxmlformats.org/officeDocument/2006/relationships/hyperlink" Target="https://www.instagram.com/revenuestadia/" TargetMode="External"/><Relationship Id="rId3" Type="http://schemas.openxmlformats.org/officeDocument/2006/relationships/image" Target="../media/image3.png"/><Relationship Id="rId7" Type="http://schemas.openxmlformats.org/officeDocument/2006/relationships/hyperlink" Target="https://youtu.be/SbjBgqzbA3w" TargetMode="External"/><Relationship Id="rId12" Type="http://schemas.openxmlformats.org/officeDocument/2006/relationships/image" Target="../media/image8.png"/><Relationship Id="rId2" Type="http://schemas.openxmlformats.org/officeDocument/2006/relationships/image" Target="../media/image2.png"/><Relationship Id="rId16" Type="http://schemas.openxmlformats.org/officeDocument/2006/relationships/image" Target="../media/image10.jfif"/><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hyperlink" Target="https://twitter.com/RevenueStadia" TargetMode="External"/><Relationship Id="rId5" Type="http://schemas.openxmlformats.org/officeDocument/2006/relationships/image" Target="../media/image5.png"/><Relationship Id="rId15" Type="http://schemas.openxmlformats.org/officeDocument/2006/relationships/hyperlink" Target="https://www.facebook.com/revenuestadia" TargetMode="External"/><Relationship Id="rId10" Type="http://schemas.openxmlformats.org/officeDocument/2006/relationships/image" Target="../media/image7.jpg"/><Relationship Id="rId4" Type="http://schemas.openxmlformats.org/officeDocument/2006/relationships/image" Target="../media/image4.png"/><Relationship Id="rId9" Type="http://schemas.openxmlformats.org/officeDocument/2006/relationships/hyperlink" Target="https://revenuestadia.com/" TargetMode="External"/><Relationship Id="rId14" Type="http://schemas.openxmlformats.org/officeDocument/2006/relationships/image" Target="../media/image9.png"/></Relationships>
</file>

<file path=xl/drawings/_rels/drawing2.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3.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openxmlformats.org/officeDocument/2006/relationships/image" Target="../media/image12.jpeg"/><Relationship Id="rId5" Type="http://schemas.openxmlformats.org/officeDocument/2006/relationships/chart" Target="../charts/chart4.xml"/><Relationship Id="rId4"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6.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7.xml.rels><?xml version="1.0" encoding="UTF-8" standalone="yes"?>
<Relationships xmlns="http://schemas.openxmlformats.org/package/2006/relationships"><Relationship Id="rId1" Type="http://schemas.openxmlformats.org/officeDocument/2006/relationships/image" Target="../media/image11.jpeg"/></Relationships>
</file>

<file path=xl/drawings/drawing1.xml><?xml version="1.0" encoding="utf-8"?>
<xdr:wsDr xmlns:xdr="http://schemas.openxmlformats.org/drawingml/2006/spreadsheetDrawing" xmlns:a="http://schemas.openxmlformats.org/drawingml/2006/main">
  <xdr:twoCellAnchor>
    <xdr:from>
      <xdr:col>0</xdr:col>
      <xdr:colOff>1209676</xdr:colOff>
      <xdr:row>4</xdr:row>
      <xdr:rowOff>57151</xdr:rowOff>
    </xdr:from>
    <xdr:to>
      <xdr:col>0</xdr:col>
      <xdr:colOff>7795532</xdr:colOff>
      <xdr:row>32</xdr:row>
      <xdr:rowOff>553811</xdr:rowOff>
    </xdr:to>
    <xdr:grpSp>
      <xdr:nvGrpSpPr>
        <xdr:cNvPr id="2" name="Group 1">
          <a:extLst>
            <a:ext uri="{FF2B5EF4-FFF2-40B4-BE49-F238E27FC236}">
              <a16:creationId xmlns:a16="http://schemas.microsoft.com/office/drawing/2014/main" id="{F290E82B-5E77-4FC0-BC14-D12BFAAB836F}"/>
            </a:ext>
          </a:extLst>
        </xdr:cNvPr>
        <xdr:cNvGrpSpPr/>
      </xdr:nvGrpSpPr>
      <xdr:grpSpPr>
        <a:xfrm>
          <a:off x="1209676" y="1209676"/>
          <a:ext cx="6585856" cy="6668860"/>
          <a:chOff x="1619251" y="457201"/>
          <a:chExt cx="4600574" cy="4600574"/>
        </a:xfrm>
      </xdr:grpSpPr>
      <xdr:pic macro="[0]!Menu_Dashboard">
        <xdr:nvPicPr>
          <xdr:cNvPr id="3" name="Picture 2">
            <a:extLst>
              <a:ext uri="{FF2B5EF4-FFF2-40B4-BE49-F238E27FC236}">
                <a16:creationId xmlns:a16="http://schemas.microsoft.com/office/drawing/2014/main" id="{764C02F7-5017-4133-AC5C-9F37CC8E7F3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619251" y="457201"/>
            <a:ext cx="4600574" cy="4600574"/>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pic macro="[0]!Menu_Dashboard">
        <xdr:nvPicPr>
          <xdr:cNvPr id="4" name="Picture 3">
            <a:extLst>
              <a:ext uri="{FF2B5EF4-FFF2-40B4-BE49-F238E27FC236}">
                <a16:creationId xmlns:a16="http://schemas.microsoft.com/office/drawing/2014/main" id="{76A3FAE7-E138-4FF5-970F-7E22E61E4BA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172075" y="4257675"/>
            <a:ext cx="457200" cy="457200"/>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pic macro="[0]!Menu_Dashboard">
        <xdr:nvPicPr>
          <xdr:cNvPr id="5" name="Picture 4">
            <a:extLst>
              <a:ext uri="{FF2B5EF4-FFF2-40B4-BE49-F238E27FC236}">
                <a16:creationId xmlns:a16="http://schemas.microsoft.com/office/drawing/2014/main" id="{067DCAD6-7B68-41B3-A8B9-C3557C89A826}"/>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3576599" y="1061999"/>
            <a:ext cx="757275" cy="757275"/>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pic macro="[0]!Menu_Dashboard">
        <xdr:nvPicPr>
          <xdr:cNvPr id="6" name="Picture 5">
            <a:extLst>
              <a:ext uri="{FF2B5EF4-FFF2-40B4-BE49-F238E27FC236}">
                <a16:creationId xmlns:a16="http://schemas.microsoft.com/office/drawing/2014/main" id="{3C9DEC5C-81B5-4CD2-8511-52501CF827E6}"/>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3112275" y="2940825"/>
            <a:ext cx="557348" cy="457200"/>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pic macro="[0]!Menu_Dashboard">
        <xdr:nvPicPr>
          <xdr:cNvPr id="7" name="Picture 6">
            <a:extLst>
              <a:ext uri="{FF2B5EF4-FFF2-40B4-BE49-F238E27FC236}">
                <a16:creationId xmlns:a16="http://schemas.microsoft.com/office/drawing/2014/main" id="{3FD1A109-35AC-4123-9BAB-06C7ADE2AC0C}"/>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3126526" y="4231425"/>
            <a:ext cx="508883" cy="457200"/>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pic macro="[0]!Menu_Dashboard">
        <xdr:nvPicPr>
          <xdr:cNvPr id="8" name="Picture 7">
            <a:extLst>
              <a:ext uri="{FF2B5EF4-FFF2-40B4-BE49-F238E27FC236}">
                <a16:creationId xmlns:a16="http://schemas.microsoft.com/office/drawing/2014/main" id="{9BBBDD3B-D77E-4F15-BDD9-93166DAF2A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5181525" y="2952675"/>
            <a:ext cx="457200" cy="457200"/>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sp macro="[0]!Menu_Dashboard" textlink="">
        <xdr:nvSpPr>
          <xdr:cNvPr id="9" name="TextBox 8">
            <a:extLst>
              <a:ext uri="{FF2B5EF4-FFF2-40B4-BE49-F238E27FC236}">
                <a16:creationId xmlns:a16="http://schemas.microsoft.com/office/drawing/2014/main" id="{94E40536-FC45-4AD4-B7D0-FDDF70325F0C}"/>
              </a:ext>
            </a:extLst>
          </xdr:cNvPr>
          <xdr:cNvSpPr txBox="1"/>
        </xdr:nvSpPr>
        <xdr:spPr>
          <a:xfrm>
            <a:off x="2867025" y="1685925"/>
            <a:ext cx="2038350" cy="498734"/>
          </a:xfrm>
          <a:prstGeom prst="rect">
            <a:avLst/>
          </a:prstGeom>
          <a:noFill/>
          <a:ln w="25400" cap="flat">
            <a:noFill/>
            <a:miter lim="400000"/>
          </a:ln>
          <a:effectLst/>
          <a:sp3d/>
        </xdr:spPr>
        <xdr:style>
          <a:lnRef idx="0">
            <a:scrgbClr r="0" g="0" b="0"/>
          </a:lnRef>
          <a:fillRef idx="0">
            <a:scrgbClr r="0" g="0" b="0"/>
          </a:fillRef>
          <a:effectRef idx="0">
            <a:scrgbClr r="0" g="0" b="0"/>
          </a:effectRef>
          <a:fontRef idx="none"/>
        </xdr:style>
        <xdr:txBody>
          <a:bodyPr rot="0" spcFirstLastPara="1" vertOverflow="clip" horzOverflow="clip" vert="horz" wrap="square" lIns="121920" tIns="121920" rIns="121920" bIns="121920" numCol="1" spcCol="38100" rtlCol="0" anchor="ctr">
            <a:noAutofit/>
          </a:bodyPr>
          <a:lstStyle/>
          <a:p>
            <a:pPr marL="0" marR="0" indent="0" algn="ctr" defTabSz="713231" rtl="0" fontAlgn="auto" latinLnBrk="0" hangingPunct="0">
              <a:lnSpc>
                <a:spcPct val="100000"/>
              </a:lnSpc>
              <a:spcBef>
                <a:spcPts val="0"/>
              </a:spcBef>
              <a:spcAft>
                <a:spcPts val="0"/>
              </a:spcAft>
              <a:buClr>
                <a:srgbClr val="000000"/>
              </a:buClr>
              <a:buSzTx/>
              <a:buFontTx/>
              <a:buNone/>
              <a:tabLst/>
            </a:pPr>
            <a:r>
              <a:rPr kumimoji="0" lang="en-US" sz="2000" b="1" i="0" u="none" strike="noStrike" cap="none" spc="0" normalizeH="0" baseline="0">
                <a:ln>
                  <a:noFill/>
                </a:ln>
                <a:solidFill>
                  <a:srgbClr val="FFFFFF"/>
                </a:solidFill>
                <a:effectLst/>
                <a:uFill>
                  <a:solidFill>
                    <a:srgbClr val="000000"/>
                  </a:solidFill>
                </a:uFill>
                <a:latin typeface="+mn-lt"/>
                <a:ea typeface="+mn-ea"/>
                <a:cs typeface="+mn-cs"/>
                <a:sym typeface="Calibri"/>
              </a:rPr>
              <a:t>DASHBOARD</a:t>
            </a:r>
          </a:p>
        </xdr:txBody>
      </xdr:sp>
      <xdr:sp macro="[0]!Menu_Properties" textlink="">
        <xdr:nvSpPr>
          <xdr:cNvPr id="10" name="TextBox 9">
            <a:extLst>
              <a:ext uri="{FF2B5EF4-FFF2-40B4-BE49-F238E27FC236}">
                <a16:creationId xmlns:a16="http://schemas.microsoft.com/office/drawing/2014/main" id="{73D82818-D4EE-43E2-9E79-57F2C8411720}"/>
              </a:ext>
            </a:extLst>
          </xdr:cNvPr>
          <xdr:cNvSpPr txBox="1"/>
        </xdr:nvSpPr>
        <xdr:spPr>
          <a:xfrm>
            <a:off x="2009776" y="2371724"/>
            <a:ext cx="1724024" cy="1076326"/>
          </a:xfrm>
          <a:prstGeom prst="rect">
            <a:avLst/>
          </a:prstGeom>
          <a:noFill/>
          <a:ln w="25400" cap="flat">
            <a:noFill/>
            <a:miter lim="400000"/>
          </a:ln>
          <a:effectLst/>
          <a:sp3d/>
        </xdr:spPr>
        <xdr:style>
          <a:lnRef idx="0">
            <a:scrgbClr r="0" g="0" b="0"/>
          </a:lnRef>
          <a:fillRef idx="0">
            <a:scrgbClr r="0" g="0" b="0"/>
          </a:fillRef>
          <a:effectRef idx="0">
            <a:scrgbClr r="0" g="0" b="0"/>
          </a:effectRef>
          <a:fontRef idx="none"/>
        </xdr:style>
        <xdr:txBody>
          <a:bodyPr rot="0" spcFirstLastPara="1" vertOverflow="clip" horzOverflow="clip" vert="horz" wrap="square" lIns="121920" tIns="121920" rIns="121920" bIns="121920" numCol="1" spcCol="38100" rtlCol="0" anchor="t">
            <a:noAutofit/>
          </a:bodyPr>
          <a:lstStyle/>
          <a:p>
            <a:pPr marL="0" marR="0" indent="0" algn="l" defTabSz="713231" rtl="0" fontAlgn="auto" latinLnBrk="0" hangingPunct="0">
              <a:lnSpc>
                <a:spcPct val="100000"/>
              </a:lnSpc>
              <a:spcBef>
                <a:spcPts val="0"/>
              </a:spcBef>
              <a:spcAft>
                <a:spcPts val="0"/>
              </a:spcAft>
              <a:buClr>
                <a:srgbClr val="000000"/>
              </a:buClr>
              <a:buSzTx/>
              <a:buFontTx/>
              <a:buNone/>
              <a:tabLst/>
            </a:pPr>
            <a:r>
              <a:rPr kumimoji="0" lang="en-US" sz="1800" b="1" i="0" u="none" strike="noStrike" cap="none" spc="0" normalizeH="0" baseline="0">
                <a:ln>
                  <a:noFill/>
                </a:ln>
                <a:solidFill>
                  <a:srgbClr val="FFFFFF"/>
                </a:solidFill>
                <a:effectLst/>
                <a:uFill>
                  <a:solidFill>
                    <a:srgbClr val="000000"/>
                  </a:solidFill>
                </a:uFill>
                <a:latin typeface="+mn-lt"/>
                <a:ea typeface="+mn-ea"/>
                <a:cs typeface="+mn-cs"/>
                <a:sym typeface="Calibri"/>
              </a:rPr>
              <a:t>PROPERTIES &amp; BUILDINGS</a:t>
            </a:r>
          </a:p>
        </xdr:txBody>
      </xdr:sp>
      <xdr:sp macro="[0]!Menu_UnitsTenants" textlink="">
        <xdr:nvSpPr>
          <xdr:cNvPr id="11" name="TextBox 10">
            <a:extLst>
              <a:ext uri="{FF2B5EF4-FFF2-40B4-BE49-F238E27FC236}">
                <a16:creationId xmlns:a16="http://schemas.microsoft.com/office/drawing/2014/main" id="{27C6B827-EFE2-4B04-B577-C2226F94349D}"/>
              </a:ext>
            </a:extLst>
          </xdr:cNvPr>
          <xdr:cNvSpPr txBox="1"/>
        </xdr:nvSpPr>
        <xdr:spPr>
          <a:xfrm>
            <a:off x="3952876" y="2362199"/>
            <a:ext cx="1724024" cy="1076326"/>
          </a:xfrm>
          <a:prstGeom prst="rect">
            <a:avLst/>
          </a:prstGeom>
          <a:noFill/>
          <a:ln w="25400" cap="flat">
            <a:noFill/>
            <a:miter lim="400000"/>
          </a:ln>
          <a:effectLst/>
          <a:sp3d/>
        </xdr:spPr>
        <xdr:style>
          <a:lnRef idx="0">
            <a:scrgbClr r="0" g="0" b="0"/>
          </a:lnRef>
          <a:fillRef idx="0">
            <a:scrgbClr r="0" g="0" b="0"/>
          </a:fillRef>
          <a:effectRef idx="0">
            <a:scrgbClr r="0" g="0" b="0"/>
          </a:effectRef>
          <a:fontRef idx="none"/>
        </xdr:style>
        <xdr:txBody>
          <a:bodyPr rot="0" spcFirstLastPara="1" vertOverflow="clip" horzOverflow="clip" vert="horz" wrap="square" lIns="121920" tIns="121920" rIns="121920" bIns="121920" numCol="1" spcCol="38100" rtlCol="0" anchor="t">
            <a:noAutofit/>
          </a:bodyPr>
          <a:lstStyle/>
          <a:p>
            <a:pPr marL="0" marR="0" indent="0" algn="l" defTabSz="713231" rtl="0" fontAlgn="auto" latinLnBrk="0" hangingPunct="0">
              <a:lnSpc>
                <a:spcPct val="100000"/>
              </a:lnSpc>
              <a:spcBef>
                <a:spcPts val="0"/>
              </a:spcBef>
              <a:spcAft>
                <a:spcPts val="0"/>
              </a:spcAft>
              <a:buClr>
                <a:srgbClr val="000000"/>
              </a:buClr>
              <a:buSzTx/>
              <a:buFontTx/>
              <a:buNone/>
              <a:tabLst/>
            </a:pPr>
            <a:r>
              <a:rPr kumimoji="0" lang="en-US" sz="1800" b="1" i="0" u="none" strike="noStrike" cap="none" spc="0" normalizeH="0" baseline="0">
                <a:ln>
                  <a:noFill/>
                </a:ln>
                <a:solidFill>
                  <a:srgbClr val="FFFFFF"/>
                </a:solidFill>
                <a:effectLst/>
                <a:uFill>
                  <a:solidFill>
                    <a:srgbClr val="000000"/>
                  </a:solidFill>
                </a:uFill>
                <a:latin typeface="+mn-lt"/>
                <a:ea typeface="+mn-ea"/>
                <a:cs typeface="+mn-cs"/>
                <a:sym typeface="Calibri"/>
              </a:rPr>
              <a:t>TENANTS &amp; UNITS</a:t>
            </a:r>
          </a:p>
        </xdr:txBody>
      </xdr:sp>
      <xdr:sp macro="[0]!Menu_Transactions" textlink="">
        <xdr:nvSpPr>
          <xdr:cNvPr id="12" name="TextBox 11">
            <a:extLst>
              <a:ext uri="{FF2B5EF4-FFF2-40B4-BE49-F238E27FC236}">
                <a16:creationId xmlns:a16="http://schemas.microsoft.com/office/drawing/2014/main" id="{AB485449-5D2C-4CFA-AFC7-AC9E78DF16A2}"/>
              </a:ext>
            </a:extLst>
          </xdr:cNvPr>
          <xdr:cNvSpPr txBox="1"/>
        </xdr:nvSpPr>
        <xdr:spPr>
          <a:xfrm>
            <a:off x="2047876" y="3686174"/>
            <a:ext cx="1724024" cy="1076326"/>
          </a:xfrm>
          <a:prstGeom prst="rect">
            <a:avLst/>
          </a:prstGeom>
          <a:noFill/>
          <a:ln w="25400" cap="flat">
            <a:noFill/>
            <a:miter lim="400000"/>
          </a:ln>
          <a:effectLst/>
          <a:sp3d/>
        </xdr:spPr>
        <xdr:style>
          <a:lnRef idx="0">
            <a:scrgbClr r="0" g="0" b="0"/>
          </a:lnRef>
          <a:fillRef idx="0">
            <a:scrgbClr r="0" g="0" b="0"/>
          </a:fillRef>
          <a:effectRef idx="0">
            <a:scrgbClr r="0" g="0" b="0"/>
          </a:effectRef>
          <a:fontRef idx="none"/>
        </xdr:style>
        <xdr:txBody>
          <a:bodyPr rot="0" spcFirstLastPara="1" vertOverflow="clip" horzOverflow="clip" vert="horz" wrap="square" lIns="121920" tIns="121920" rIns="121920" bIns="121920" numCol="1" spcCol="38100" rtlCol="0" anchor="t">
            <a:noAutofit/>
          </a:bodyPr>
          <a:lstStyle/>
          <a:p>
            <a:pPr marL="0" marR="0" indent="0" algn="l" defTabSz="713231" rtl="0" fontAlgn="auto" latinLnBrk="0" hangingPunct="0">
              <a:lnSpc>
                <a:spcPct val="100000"/>
              </a:lnSpc>
              <a:spcBef>
                <a:spcPts val="0"/>
              </a:spcBef>
              <a:spcAft>
                <a:spcPts val="0"/>
              </a:spcAft>
              <a:buClr>
                <a:srgbClr val="000000"/>
              </a:buClr>
              <a:buSzTx/>
              <a:buFontTx/>
              <a:buNone/>
              <a:tabLst/>
            </a:pPr>
            <a:r>
              <a:rPr kumimoji="0" lang="en-US" sz="1800" b="1" i="0" u="none" strike="noStrike" cap="none" spc="0" normalizeH="0" baseline="0">
                <a:ln>
                  <a:noFill/>
                </a:ln>
                <a:solidFill>
                  <a:srgbClr val="FFFFFF"/>
                </a:solidFill>
                <a:effectLst/>
                <a:uFill>
                  <a:solidFill>
                    <a:srgbClr val="000000"/>
                  </a:solidFill>
                </a:uFill>
                <a:latin typeface="+mn-lt"/>
                <a:ea typeface="+mn-ea"/>
                <a:cs typeface="+mn-cs"/>
                <a:sym typeface="Calibri"/>
              </a:rPr>
              <a:t>EXPENSES &amp; INCOME</a:t>
            </a:r>
          </a:p>
        </xdr:txBody>
      </xdr:sp>
      <xdr:sp macro="[0]!Menu_AlertsReminders" textlink="">
        <xdr:nvSpPr>
          <xdr:cNvPr id="13" name="TextBox 12">
            <a:extLst>
              <a:ext uri="{FF2B5EF4-FFF2-40B4-BE49-F238E27FC236}">
                <a16:creationId xmlns:a16="http://schemas.microsoft.com/office/drawing/2014/main" id="{B6DA527B-CDD2-402F-A8BC-99F22FF8EDFD}"/>
              </a:ext>
            </a:extLst>
          </xdr:cNvPr>
          <xdr:cNvSpPr txBox="1"/>
        </xdr:nvSpPr>
        <xdr:spPr>
          <a:xfrm>
            <a:off x="4010026" y="3686174"/>
            <a:ext cx="1724024" cy="1076326"/>
          </a:xfrm>
          <a:prstGeom prst="rect">
            <a:avLst/>
          </a:prstGeom>
          <a:noFill/>
          <a:ln w="25400" cap="flat">
            <a:noFill/>
            <a:miter lim="400000"/>
          </a:ln>
          <a:effectLst/>
          <a:sp3d/>
        </xdr:spPr>
        <xdr:style>
          <a:lnRef idx="0">
            <a:scrgbClr r="0" g="0" b="0"/>
          </a:lnRef>
          <a:fillRef idx="0">
            <a:scrgbClr r="0" g="0" b="0"/>
          </a:fillRef>
          <a:effectRef idx="0">
            <a:scrgbClr r="0" g="0" b="0"/>
          </a:effectRef>
          <a:fontRef idx="none"/>
        </xdr:style>
        <xdr:txBody>
          <a:bodyPr rot="0" spcFirstLastPara="1" vertOverflow="clip" horzOverflow="clip" vert="horz" wrap="square" lIns="121920" tIns="121920" rIns="121920" bIns="121920" numCol="1" spcCol="38100" rtlCol="0" anchor="t">
            <a:noAutofit/>
          </a:bodyPr>
          <a:lstStyle/>
          <a:p>
            <a:pPr marL="0" marR="0" indent="0" algn="l" defTabSz="713231" rtl="0" fontAlgn="auto" latinLnBrk="0" hangingPunct="0">
              <a:lnSpc>
                <a:spcPct val="100000"/>
              </a:lnSpc>
              <a:spcBef>
                <a:spcPts val="0"/>
              </a:spcBef>
              <a:spcAft>
                <a:spcPts val="0"/>
              </a:spcAft>
              <a:buClr>
                <a:srgbClr val="000000"/>
              </a:buClr>
              <a:buSzTx/>
              <a:buFontTx/>
              <a:buNone/>
              <a:tabLst/>
            </a:pPr>
            <a:r>
              <a:rPr kumimoji="0" lang="en-US" sz="1800" b="1" i="0" u="none" strike="noStrike" cap="none" spc="0" normalizeH="0" baseline="0">
                <a:ln>
                  <a:noFill/>
                </a:ln>
                <a:solidFill>
                  <a:srgbClr val="FFFFFF"/>
                </a:solidFill>
                <a:effectLst/>
                <a:uFill>
                  <a:solidFill>
                    <a:srgbClr val="000000"/>
                  </a:solidFill>
                </a:uFill>
                <a:latin typeface="+mn-lt"/>
                <a:ea typeface="+mn-ea"/>
                <a:cs typeface="+mn-cs"/>
                <a:sym typeface="Calibri"/>
              </a:rPr>
              <a:t>REMINDERS &amp; ALERTS</a:t>
            </a:r>
          </a:p>
        </xdr:txBody>
      </xdr:sp>
      <xdr:sp macro="[0]!Menu_Dashboard" textlink="">
        <xdr:nvSpPr>
          <xdr:cNvPr id="14" name="Isosceles Triangle 13">
            <a:extLst>
              <a:ext uri="{FF2B5EF4-FFF2-40B4-BE49-F238E27FC236}">
                <a16:creationId xmlns:a16="http://schemas.microsoft.com/office/drawing/2014/main" id="{368B3BC3-04B3-4E7E-A2A9-3B9E9087D34E}"/>
              </a:ext>
            </a:extLst>
          </xdr:cNvPr>
          <xdr:cNvSpPr/>
        </xdr:nvSpPr>
        <xdr:spPr>
          <a:xfrm>
            <a:off x="2200275" y="714375"/>
            <a:ext cx="3276600" cy="1352550"/>
          </a:xfrm>
          <a:prstGeom prst="triangle">
            <a:avLst/>
          </a:prstGeom>
          <a:noFill/>
          <a:ln w="25400" cap="flat">
            <a:noFill/>
            <a:miter lim="400000"/>
          </a:ln>
          <a:effectLst>
            <a:outerShdw blurRad="88900" dist="50800" dir="5400000" rotWithShape="0">
              <a:srgbClr val="000000">
                <a:alpha val="50000"/>
              </a:srgbClr>
            </a:outerShdw>
          </a:effectLst>
          <a:sp3d/>
        </xdr:spPr>
        <xdr:style>
          <a:lnRef idx="0">
            <a:scrgbClr r="0" g="0" b="0"/>
          </a:lnRef>
          <a:fillRef idx="0">
            <a:scrgbClr r="0" g="0" b="0"/>
          </a:fillRef>
          <a:effectRef idx="0">
            <a:scrgbClr r="0" g="0" b="0"/>
          </a:effectRef>
          <a:fontRef idx="none"/>
        </xdr:style>
        <xdr:txBody>
          <a:bodyPr rot="0" spcFirstLastPara="1" vertOverflow="clip" horzOverflow="clip" vert="horz" wrap="square" lIns="121920" tIns="121920" rIns="121920" bIns="121920" numCol="1" spcCol="38100" rtlCol="0" anchor="t">
            <a:spAutoFit/>
          </a:bodyPr>
          <a:lstStyle/>
          <a:p>
            <a:pPr marL="0" marR="0" indent="0" algn="l" defTabSz="713231" rtl="0" fontAlgn="auto" latinLnBrk="0" hangingPunct="0">
              <a:lnSpc>
                <a:spcPct val="100000"/>
              </a:lnSpc>
              <a:spcBef>
                <a:spcPts val="0"/>
              </a:spcBef>
              <a:spcAft>
                <a:spcPts val="0"/>
              </a:spcAft>
              <a:buClr>
                <a:srgbClr val="000000"/>
              </a:buClr>
              <a:buSzTx/>
              <a:buFontTx/>
              <a:buNone/>
              <a:tabLst/>
            </a:pPr>
            <a:endParaRPr kumimoji="0" lang="en-US" sz="3200" b="0" i="0" u="none" strike="noStrike" cap="none" spc="0" normalizeH="0" baseline="0">
              <a:ln>
                <a:noFill/>
              </a:ln>
              <a:solidFill>
                <a:srgbClr val="000000"/>
              </a:solidFill>
              <a:effectLst/>
              <a:uFill>
                <a:solidFill>
                  <a:srgbClr val="000000"/>
                </a:solidFill>
              </a:uFill>
              <a:latin typeface="+mn-lt"/>
              <a:ea typeface="+mn-ea"/>
              <a:cs typeface="+mn-cs"/>
              <a:sym typeface="Calibri"/>
            </a:endParaRPr>
          </a:p>
        </xdr:txBody>
      </xdr:sp>
    </xdr:grpSp>
    <xdr:clientData/>
  </xdr:twoCellAnchor>
  <xdr:twoCellAnchor>
    <xdr:from>
      <xdr:col>1</xdr:col>
      <xdr:colOff>523874</xdr:colOff>
      <xdr:row>0</xdr:row>
      <xdr:rowOff>209550</xdr:rowOff>
    </xdr:from>
    <xdr:to>
      <xdr:col>1</xdr:col>
      <xdr:colOff>2857499</xdr:colOff>
      <xdr:row>1</xdr:row>
      <xdr:rowOff>54429</xdr:rowOff>
    </xdr:to>
    <xdr:grpSp>
      <xdr:nvGrpSpPr>
        <xdr:cNvPr id="15" name="Group 14">
          <a:hlinkClick xmlns:r="http://schemas.openxmlformats.org/officeDocument/2006/relationships" r:id="rId7"/>
          <a:extLst>
            <a:ext uri="{FF2B5EF4-FFF2-40B4-BE49-F238E27FC236}">
              <a16:creationId xmlns:a16="http://schemas.microsoft.com/office/drawing/2014/main" id="{C03428F5-32C2-41C2-A6AB-F113DE8B3645}"/>
            </a:ext>
          </a:extLst>
        </xdr:cNvPr>
        <xdr:cNvGrpSpPr/>
      </xdr:nvGrpSpPr>
      <xdr:grpSpPr>
        <a:xfrm>
          <a:off x="9772649" y="209550"/>
          <a:ext cx="2333625" cy="340179"/>
          <a:chOff x="11809685" y="152400"/>
          <a:chExt cx="2244971" cy="340635"/>
        </a:xfrm>
      </xdr:grpSpPr>
      <xdr:sp macro="" textlink="">
        <xdr:nvSpPr>
          <xdr:cNvPr id="16" name="Rounded Rectangle 1">
            <a:hlinkClick xmlns:r="http://schemas.openxmlformats.org/officeDocument/2006/relationships" r:id="rId8"/>
            <a:extLst>
              <a:ext uri="{FF2B5EF4-FFF2-40B4-BE49-F238E27FC236}">
                <a16:creationId xmlns:a16="http://schemas.microsoft.com/office/drawing/2014/main" id="{58C7EDBA-9375-476B-82CF-C9D521F1D6D9}"/>
              </a:ext>
            </a:extLst>
          </xdr:cNvPr>
          <xdr:cNvSpPr/>
        </xdr:nvSpPr>
        <xdr:spPr>
          <a:xfrm>
            <a:off x="11809685" y="152400"/>
            <a:ext cx="2244971" cy="340635"/>
          </a:xfrm>
          <a:prstGeom prst="roundRect">
            <a:avLst/>
          </a:prstGeom>
          <a:solidFill>
            <a:srgbClr val="EA0000"/>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r"/>
            <a:r>
              <a:rPr lang="en-US" sz="1100" b="1">
                <a:solidFill>
                  <a:srgbClr val="FFFFFF"/>
                </a:solidFill>
              </a:rPr>
              <a:t>Watch</a:t>
            </a:r>
            <a:r>
              <a:rPr lang="en-US" sz="1100" b="1" baseline="0">
                <a:solidFill>
                  <a:srgbClr val="FFFFFF"/>
                </a:solidFill>
              </a:rPr>
              <a:t> message from the CEO</a:t>
            </a:r>
            <a:endParaRPr lang="en-US" sz="1100" b="1">
              <a:solidFill>
                <a:srgbClr val="FFFFFF"/>
              </a:solidFill>
            </a:endParaRPr>
          </a:p>
        </xdr:txBody>
      </xdr:sp>
      <xdr:sp macro="" textlink="">
        <xdr:nvSpPr>
          <xdr:cNvPr id="17" name="Isosceles Triangle 16">
            <a:extLst>
              <a:ext uri="{FF2B5EF4-FFF2-40B4-BE49-F238E27FC236}">
                <a16:creationId xmlns:a16="http://schemas.microsoft.com/office/drawing/2014/main" id="{3DEE64F3-A96B-452F-A287-BD9390A6267E}"/>
              </a:ext>
            </a:extLst>
          </xdr:cNvPr>
          <xdr:cNvSpPr/>
        </xdr:nvSpPr>
        <xdr:spPr>
          <a:xfrm rot="5400000">
            <a:off x="11871724" y="227266"/>
            <a:ext cx="164592" cy="164592"/>
          </a:xfrm>
          <a:prstGeom prs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editAs="oneCell">
    <xdr:from>
      <xdr:col>0</xdr:col>
      <xdr:colOff>8514403</xdr:colOff>
      <xdr:row>3</xdr:row>
      <xdr:rowOff>170918</xdr:rowOff>
    </xdr:from>
    <xdr:to>
      <xdr:col>1</xdr:col>
      <xdr:colOff>4744396</xdr:colOff>
      <xdr:row>28</xdr:row>
      <xdr:rowOff>170090</xdr:rowOff>
    </xdr:to>
    <xdr:pic>
      <xdr:nvPicPr>
        <xdr:cNvPr id="18" name="Picture 17">
          <a:hlinkClick xmlns:r="http://schemas.openxmlformats.org/officeDocument/2006/relationships" r:id="rId9"/>
          <a:extLst>
            <a:ext uri="{FF2B5EF4-FFF2-40B4-BE49-F238E27FC236}">
              <a16:creationId xmlns:a16="http://schemas.microsoft.com/office/drawing/2014/main" id="{AAAA2CEA-581E-4D28-911E-3078E72BF46C}"/>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xdr:blipFill>
      <xdr:spPr>
        <a:xfrm>
          <a:off x="8514403" y="1068989"/>
          <a:ext cx="5482850" cy="5482850"/>
        </a:xfrm>
        <a:prstGeom prst="rect">
          <a:avLst/>
        </a:prstGeom>
        <a:ln>
          <a:noFill/>
        </a:ln>
        <a:effectLst>
          <a:softEdge rad="112500"/>
        </a:effectLst>
      </xdr:spPr>
    </xdr:pic>
    <xdr:clientData/>
  </xdr:twoCellAnchor>
  <xdr:twoCellAnchor>
    <xdr:from>
      <xdr:col>0</xdr:col>
      <xdr:colOff>8531680</xdr:colOff>
      <xdr:row>21</xdr:row>
      <xdr:rowOff>40821</xdr:rowOff>
    </xdr:from>
    <xdr:to>
      <xdr:col>1</xdr:col>
      <xdr:colOff>4776107</xdr:colOff>
      <xdr:row>30</xdr:row>
      <xdr:rowOff>68035</xdr:rowOff>
    </xdr:to>
    <xdr:sp macro="" textlink="">
      <xdr:nvSpPr>
        <xdr:cNvPr id="19" name="TextBox 18">
          <a:hlinkClick xmlns:r="http://schemas.openxmlformats.org/officeDocument/2006/relationships" r:id="rId9"/>
          <a:extLst>
            <a:ext uri="{FF2B5EF4-FFF2-40B4-BE49-F238E27FC236}">
              <a16:creationId xmlns:a16="http://schemas.microsoft.com/office/drawing/2014/main" id="{46372D1D-F53C-4E5D-B9C8-D1B644C350D6}"/>
            </a:ext>
          </a:extLst>
        </xdr:cNvPr>
        <xdr:cNvSpPr txBox="1"/>
      </xdr:nvSpPr>
      <xdr:spPr>
        <a:xfrm>
          <a:off x="8531680" y="4612821"/>
          <a:ext cx="5497284" cy="1905000"/>
        </a:xfrm>
        <a:prstGeom prst="rect">
          <a:avLst/>
        </a:prstGeom>
        <a:ln>
          <a:noFill/>
        </a:ln>
        <a:effectLst>
          <a:outerShdw blurRad="76200" dist="12700" dir="2700000" sy="-23000" kx="-800400" algn="bl" rotWithShape="0">
            <a:prstClr val="black">
              <a:alpha val="20000"/>
            </a:prstClr>
          </a:outerShdw>
        </a:effectLst>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t">
          <a:scene3d>
            <a:camera prst="orthographicFront"/>
            <a:lightRig rig="threePt" dir="t"/>
          </a:scene3d>
          <a:sp3d extrusionH="57150">
            <a:bevelT w="38100" h="38100"/>
          </a:sp3d>
        </a:bodyPr>
        <a:lstStyle/>
        <a:p>
          <a:r>
            <a:rPr lang="en-US" sz="1800">
              <a:latin typeface="Abadi" panose="020B0604020202020204" pitchFamily="34" charset="0"/>
            </a:rPr>
            <a:t>Visist</a:t>
          </a:r>
          <a:r>
            <a:rPr lang="en-US" sz="1800" baseline="0">
              <a:latin typeface="Abadi" panose="020B0604020202020204" pitchFamily="34" charset="0"/>
            </a:rPr>
            <a:t> our website and book a demo for Revenue Stadia, </a:t>
          </a:r>
          <a:r>
            <a:rPr lang="en-US" sz="1800" b="1" i="0">
              <a:solidFill>
                <a:schemeClr val="dk1"/>
              </a:solidFill>
              <a:effectLst/>
              <a:latin typeface="Abadi" panose="020B0604020202020204" pitchFamily="34" charset="0"/>
              <a:ea typeface="+mn-ea"/>
              <a:cs typeface="+mn-cs"/>
            </a:rPr>
            <a:t>Intuitive, scalable property management software</a:t>
          </a:r>
          <a:r>
            <a:rPr lang="en-US" sz="1800" b="1" i="0" baseline="0">
              <a:solidFill>
                <a:schemeClr val="dk1"/>
              </a:solidFill>
              <a:effectLst/>
              <a:latin typeface="Abadi" panose="020B0604020202020204" pitchFamily="34" charset="0"/>
              <a:ea typeface="+mn-ea"/>
              <a:cs typeface="+mn-cs"/>
            </a:rPr>
            <a:t>, </a:t>
          </a:r>
          <a:r>
            <a:rPr lang="en-US" sz="1800" b="0" i="0" baseline="0">
              <a:solidFill>
                <a:schemeClr val="dk1"/>
              </a:solidFill>
              <a:effectLst/>
              <a:latin typeface="Abadi" panose="020B0604020202020204" pitchFamily="34" charset="0"/>
              <a:ea typeface="+mn-ea"/>
              <a:cs typeface="+mn-cs"/>
            </a:rPr>
            <a:t>d</a:t>
          </a:r>
          <a:r>
            <a:rPr lang="en-US" sz="1800" b="0" i="0">
              <a:solidFill>
                <a:schemeClr val="dk1"/>
              </a:solidFill>
              <a:effectLst/>
              <a:latin typeface="Abadi" panose="020B0604020202020204" pitchFamily="34" charset="0"/>
              <a:ea typeface="+mn-ea"/>
              <a:cs typeface="+mn-cs"/>
            </a:rPr>
            <a:t>eveloped for property managers to manage units in a property or multiple properties.</a:t>
          </a:r>
        </a:p>
        <a:p>
          <a:endParaRPr lang="en-US" sz="1100">
            <a:latin typeface="Bierstadt Display" panose="020B0604020202020204" pitchFamily="34" charset="0"/>
          </a:endParaRPr>
        </a:p>
      </xdr:txBody>
    </xdr:sp>
    <xdr:clientData/>
  </xdr:twoCellAnchor>
  <xdr:twoCellAnchor editAs="oneCell">
    <xdr:from>
      <xdr:col>1</xdr:col>
      <xdr:colOff>3265714</xdr:colOff>
      <xdr:row>0</xdr:row>
      <xdr:rowOff>136072</xdr:rowOff>
    </xdr:from>
    <xdr:to>
      <xdr:col>1</xdr:col>
      <xdr:colOff>3782786</xdr:colOff>
      <xdr:row>1</xdr:row>
      <xdr:rowOff>156423</xdr:rowOff>
    </xdr:to>
    <xdr:pic>
      <xdr:nvPicPr>
        <xdr:cNvPr id="25" name="Picture 24">
          <a:hlinkClick xmlns:r="http://schemas.openxmlformats.org/officeDocument/2006/relationships" r:id="rId11"/>
          <a:extLst>
            <a:ext uri="{FF2B5EF4-FFF2-40B4-BE49-F238E27FC236}">
              <a16:creationId xmlns:a16="http://schemas.microsoft.com/office/drawing/2014/main" id="{13F4790E-142D-4534-8343-26953AEA3E75}"/>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12518571" y="136072"/>
          <a:ext cx="517072" cy="510208"/>
        </a:xfrm>
        <a:prstGeom prst="rect">
          <a:avLst/>
        </a:prstGeom>
      </xdr:spPr>
    </xdr:pic>
    <xdr:clientData/>
  </xdr:twoCellAnchor>
  <xdr:twoCellAnchor editAs="oneCell">
    <xdr:from>
      <xdr:col>1</xdr:col>
      <xdr:colOff>4041321</xdr:colOff>
      <xdr:row>0</xdr:row>
      <xdr:rowOff>108856</xdr:rowOff>
    </xdr:from>
    <xdr:to>
      <xdr:col>1</xdr:col>
      <xdr:colOff>4612822</xdr:colOff>
      <xdr:row>1</xdr:row>
      <xdr:rowOff>190500</xdr:rowOff>
    </xdr:to>
    <xdr:pic>
      <xdr:nvPicPr>
        <xdr:cNvPr id="27" name="Picture 26">
          <a:hlinkClick xmlns:r="http://schemas.openxmlformats.org/officeDocument/2006/relationships" r:id="rId13"/>
          <a:extLst>
            <a:ext uri="{FF2B5EF4-FFF2-40B4-BE49-F238E27FC236}">
              <a16:creationId xmlns:a16="http://schemas.microsoft.com/office/drawing/2014/main" id="{FCE29A39-A3AB-4788-B4EE-7353098647BB}"/>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13294178" y="108856"/>
          <a:ext cx="571501" cy="571501"/>
        </a:xfrm>
        <a:prstGeom prst="rect">
          <a:avLst/>
        </a:prstGeom>
      </xdr:spPr>
    </xdr:pic>
    <xdr:clientData/>
  </xdr:twoCellAnchor>
  <xdr:twoCellAnchor editAs="oneCell">
    <xdr:from>
      <xdr:col>1</xdr:col>
      <xdr:colOff>4898573</xdr:colOff>
      <xdr:row>0</xdr:row>
      <xdr:rowOff>136072</xdr:rowOff>
    </xdr:from>
    <xdr:to>
      <xdr:col>1</xdr:col>
      <xdr:colOff>5361215</xdr:colOff>
      <xdr:row>1</xdr:row>
      <xdr:rowOff>132095</xdr:rowOff>
    </xdr:to>
    <xdr:pic>
      <xdr:nvPicPr>
        <xdr:cNvPr id="29" name="Picture 28">
          <a:hlinkClick xmlns:r="http://schemas.openxmlformats.org/officeDocument/2006/relationships" r:id="rId15"/>
          <a:extLst>
            <a:ext uri="{FF2B5EF4-FFF2-40B4-BE49-F238E27FC236}">
              <a16:creationId xmlns:a16="http://schemas.microsoft.com/office/drawing/2014/main" id="{658B9FB1-8577-484F-86CA-F32F8A48D933}"/>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14151430" y="136072"/>
          <a:ext cx="462642" cy="48588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38100</xdr:colOff>
      <xdr:row>9</xdr:row>
      <xdr:rowOff>152400</xdr:rowOff>
    </xdr:from>
    <xdr:to>
      <xdr:col>4</xdr:col>
      <xdr:colOff>47625</xdr:colOff>
      <xdr:row>11</xdr:row>
      <xdr:rowOff>19050</xdr:rowOff>
    </xdr:to>
    <xdr:sp macro="[0]!loadform" textlink="">
      <xdr:nvSpPr>
        <xdr:cNvPr id="18" name="Arrow: Chevron 17">
          <a:extLst>
            <a:ext uri="{FF2B5EF4-FFF2-40B4-BE49-F238E27FC236}">
              <a16:creationId xmlns:a16="http://schemas.microsoft.com/office/drawing/2014/main" id="{4BEBD763-6D66-4C26-B8DA-88DD7D5C51A2}"/>
            </a:ext>
          </a:extLst>
        </xdr:cNvPr>
        <xdr:cNvSpPr/>
      </xdr:nvSpPr>
      <xdr:spPr>
        <a:xfrm>
          <a:off x="38100" y="2124075"/>
          <a:ext cx="1828800" cy="285750"/>
        </a:xfrm>
        <a:prstGeom prst="chevron">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Cash Flows &amp;</a:t>
          </a:r>
          <a:r>
            <a:rPr lang="en-US" sz="1100" baseline="0">
              <a:solidFill>
                <a:schemeClr val="tx1"/>
              </a:solidFill>
            </a:rPr>
            <a:t> Income</a:t>
          </a:r>
        </a:p>
        <a:p>
          <a:pPr algn="l"/>
          <a:endParaRPr lang="en-US" sz="1100">
            <a:solidFill>
              <a:schemeClr val="tx1"/>
            </a:solidFill>
          </a:endParaRPr>
        </a:p>
      </xdr:txBody>
    </xdr:sp>
    <xdr:clientData/>
  </xdr:twoCellAnchor>
  <xdr:twoCellAnchor>
    <xdr:from>
      <xdr:col>0</xdr:col>
      <xdr:colOff>0</xdr:colOff>
      <xdr:row>4</xdr:row>
      <xdr:rowOff>76200</xdr:rowOff>
    </xdr:from>
    <xdr:to>
      <xdr:col>4</xdr:col>
      <xdr:colOff>9525</xdr:colOff>
      <xdr:row>5</xdr:row>
      <xdr:rowOff>142875</xdr:rowOff>
    </xdr:to>
    <xdr:sp macro="" textlink="">
      <xdr:nvSpPr>
        <xdr:cNvPr id="19" name="Arrow: Chevron 18">
          <a:extLst>
            <a:ext uri="{FF2B5EF4-FFF2-40B4-BE49-F238E27FC236}">
              <a16:creationId xmlns:a16="http://schemas.microsoft.com/office/drawing/2014/main" id="{52CB68B6-CEB5-4219-8F63-7D682526C4FF}"/>
            </a:ext>
          </a:extLst>
        </xdr:cNvPr>
        <xdr:cNvSpPr/>
      </xdr:nvSpPr>
      <xdr:spPr>
        <a:xfrm>
          <a:off x="0" y="990600"/>
          <a:ext cx="1828800" cy="285750"/>
        </a:xfrm>
        <a:prstGeom prst="chevron">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Tenant Detail List </a:t>
          </a:r>
        </a:p>
      </xdr:txBody>
    </xdr:sp>
    <xdr:clientData/>
  </xdr:twoCellAnchor>
  <xdr:twoCellAnchor>
    <xdr:from>
      <xdr:col>2</xdr:col>
      <xdr:colOff>57150</xdr:colOff>
      <xdr:row>7</xdr:row>
      <xdr:rowOff>15875</xdr:rowOff>
    </xdr:from>
    <xdr:to>
      <xdr:col>4</xdr:col>
      <xdr:colOff>66675</xdr:colOff>
      <xdr:row>8</xdr:row>
      <xdr:rowOff>92075</xdr:rowOff>
    </xdr:to>
    <xdr:sp macro="" textlink="">
      <xdr:nvSpPr>
        <xdr:cNvPr id="20" name="Arrow: Chevron 19">
          <a:extLst>
            <a:ext uri="{FF2B5EF4-FFF2-40B4-BE49-F238E27FC236}">
              <a16:creationId xmlns:a16="http://schemas.microsoft.com/office/drawing/2014/main" id="{63780C46-4F08-480A-AC1B-F3E198B857DC}"/>
            </a:ext>
          </a:extLst>
        </xdr:cNvPr>
        <xdr:cNvSpPr/>
      </xdr:nvSpPr>
      <xdr:spPr>
        <a:xfrm>
          <a:off x="57150" y="1568450"/>
          <a:ext cx="1828800" cy="285750"/>
        </a:xfrm>
        <a:prstGeom prst="chevron">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Monthly Tenant Payment</a:t>
          </a:r>
        </a:p>
      </xdr:txBody>
    </xdr:sp>
    <xdr:clientData/>
  </xdr:twoCellAnchor>
  <xdr:twoCellAnchor editAs="oneCell">
    <xdr:from>
      <xdr:col>2</xdr:col>
      <xdr:colOff>114300</xdr:colOff>
      <xdr:row>0</xdr:row>
      <xdr:rowOff>76200</xdr:rowOff>
    </xdr:from>
    <xdr:to>
      <xdr:col>3</xdr:col>
      <xdr:colOff>571500</xdr:colOff>
      <xdr:row>2</xdr:row>
      <xdr:rowOff>352425</xdr:rowOff>
    </xdr:to>
    <xdr:pic macro="[0]!Menu_Home">
      <xdr:nvPicPr>
        <xdr:cNvPr id="3" name="Picture 2">
          <a:extLst>
            <a:ext uri="{FF2B5EF4-FFF2-40B4-BE49-F238E27FC236}">
              <a16:creationId xmlns:a16="http://schemas.microsoft.com/office/drawing/2014/main" id="{7EF46DA9-5F02-4DED-9D20-D3FFF89293C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4300" y="76200"/>
          <a:ext cx="600075" cy="600075"/>
        </a:xfrm>
        <a:prstGeom prst="rect">
          <a:avLst/>
        </a:prstGeom>
        <a:ln>
          <a:noFill/>
        </a:ln>
        <a:effectLst>
          <a:outerShdw blurRad="292100" dist="139700" dir="2700000" algn="tl" rotWithShape="0">
            <a:srgbClr val="333333">
              <a:alpha val="65000"/>
            </a:srgbClr>
          </a:outerShdw>
        </a:effec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82850</xdr:colOff>
      <xdr:row>0</xdr:row>
      <xdr:rowOff>53735</xdr:rowOff>
    </xdr:from>
    <xdr:to>
      <xdr:col>2</xdr:col>
      <xdr:colOff>1</xdr:colOff>
      <xdr:row>3</xdr:row>
      <xdr:rowOff>0</xdr:rowOff>
    </xdr:to>
    <xdr:pic macro="[0]!Menu_Home">
      <xdr:nvPicPr>
        <xdr:cNvPr id="3" name="Picture 2">
          <a:extLst>
            <a:ext uri="{FF2B5EF4-FFF2-40B4-BE49-F238E27FC236}">
              <a16:creationId xmlns:a16="http://schemas.microsoft.com/office/drawing/2014/main" id="{0C99211E-88BB-464D-A008-F797149A954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61411" y="53735"/>
          <a:ext cx="600075" cy="593246"/>
        </a:xfrm>
        <a:prstGeom prst="rect">
          <a:avLst/>
        </a:prstGeom>
      </xdr:spPr>
    </xdr:pic>
    <xdr:clientData/>
  </xdr:twoCellAnchor>
  <xdr:twoCellAnchor editAs="oneCell">
    <xdr:from>
      <xdr:col>1</xdr:col>
      <xdr:colOff>615556</xdr:colOff>
      <xdr:row>12</xdr:row>
      <xdr:rowOff>123826</xdr:rowOff>
    </xdr:from>
    <xdr:to>
      <xdr:col>10</xdr:col>
      <xdr:colOff>0</xdr:colOff>
      <xdr:row>18</xdr:row>
      <xdr:rowOff>0</xdr:rowOff>
    </xdr:to>
    <mc:AlternateContent xmlns:mc="http://schemas.openxmlformats.org/markup-compatibility/2006" xmlns:tsle="http://schemas.microsoft.com/office/drawing/2012/timeslicer">
      <mc:Choice Requires="tsle">
        <xdr:graphicFrame macro="">
          <xdr:nvGraphicFramePr>
            <xdr:cNvPr id="5" name="profits">
              <a:extLst>
                <a:ext uri="{FF2B5EF4-FFF2-40B4-BE49-F238E27FC236}">
                  <a16:creationId xmlns:a16="http://schemas.microsoft.com/office/drawing/2014/main" id="{E930A77C-E77A-4CF6-8DA3-3A2A30DAFE8C}"/>
                </a:ext>
              </a:extLst>
            </xdr:cNvPr>
            <xdr:cNvGraphicFramePr/>
          </xdr:nvGraphicFramePr>
          <xdr:xfrm>
            <a:off x="0" y="0"/>
            <a:ext cx="0" cy="0"/>
          </xdr:xfrm>
          <a:graphic>
            <a:graphicData uri="http://schemas.microsoft.com/office/drawing/2012/timeslicer">
              <tsle:timeslicer name="profits"/>
            </a:graphicData>
          </a:graphic>
        </xdr:graphicFrame>
      </mc:Choice>
      <mc:Fallback xmlns="">
        <xdr:sp macro="" textlink="">
          <xdr:nvSpPr>
            <xdr:cNvPr id="0" name=""/>
            <xdr:cNvSpPr>
              <a:spLocks noTextEdit="1"/>
            </xdr:cNvSpPr>
          </xdr:nvSpPr>
          <xdr:spPr>
            <a:xfrm>
              <a:off x="693844" y="2785607"/>
              <a:ext cx="5608314" cy="1207064"/>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xdr:from>
      <xdr:col>1</xdr:col>
      <xdr:colOff>188334</xdr:colOff>
      <xdr:row>2</xdr:row>
      <xdr:rowOff>104775</xdr:rowOff>
    </xdr:from>
    <xdr:to>
      <xdr:col>11</xdr:col>
      <xdr:colOff>276225</xdr:colOff>
      <xdr:row>12</xdr:row>
      <xdr:rowOff>59955</xdr:rowOff>
    </xdr:to>
    <xdr:graphicFrame macro="">
      <xdr:nvGraphicFramePr>
        <xdr:cNvPr id="4" name="incomeexpence">
          <a:extLst>
            <a:ext uri="{FF2B5EF4-FFF2-40B4-BE49-F238E27FC236}">
              <a16:creationId xmlns:a16="http://schemas.microsoft.com/office/drawing/2014/main" id="{8DD4115D-36A2-4CE2-917C-623BB7BE3EF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447676</xdr:colOff>
      <xdr:row>0</xdr:row>
      <xdr:rowOff>114300</xdr:rowOff>
    </xdr:from>
    <xdr:to>
      <xdr:col>6</xdr:col>
      <xdr:colOff>466726</xdr:colOff>
      <xdr:row>2</xdr:row>
      <xdr:rowOff>28575</xdr:rowOff>
    </xdr:to>
    <xdr:sp macro="" textlink="">
      <xdr:nvSpPr>
        <xdr:cNvPr id="8" name="Rectangle: Rounded Corners 7">
          <a:extLst>
            <a:ext uri="{FF2B5EF4-FFF2-40B4-BE49-F238E27FC236}">
              <a16:creationId xmlns:a16="http://schemas.microsoft.com/office/drawing/2014/main" id="{62B2D362-C86A-48A0-99FE-997BA6985382}"/>
            </a:ext>
          </a:extLst>
        </xdr:cNvPr>
        <xdr:cNvSpPr/>
      </xdr:nvSpPr>
      <xdr:spPr>
        <a:xfrm>
          <a:off x="3028951" y="114300"/>
          <a:ext cx="2076450" cy="3524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Incomes and Expences</a:t>
          </a:r>
        </a:p>
      </xdr:txBody>
    </xdr:sp>
    <xdr:clientData/>
  </xdr:twoCellAnchor>
  <xdr:twoCellAnchor>
    <xdr:from>
      <xdr:col>12</xdr:col>
      <xdr:colOff>57151</xdr:colOff>
      <xdr:row>0</xdr:row>
      <xdr:rowOff>123825</xdr:rowOff>
    </xdr:from>
    <xdr:to>
      <xdr:col>15</xdr:col>
      <xdr:colOff>76201</xdr:colOff>
      <xdr:row>2</xdr:row>
      <xdr:rowOff>38100</xdr:rowOff>
    </xdr:to>
    <xdr:sp macro="" textlink="">
      <xdr:nvSpPr>
        <xdr:cNvPr id="9" name="Rectangle: Rounded Corners 8">
          <a:extLst>
            <a:ext uri="{FF2B5EF4-FFF2-40B4-BE49-F238E27FC236}">
              <a16:creationId xmlns:a16="http://schemas.microsoft.com/office/drawing/2014/main" id="{05B94F52-CCEA-4A37-B725-CA7B80E61B7B}"/>
            </a:ext>
          </a:extLst>
        </xdr:cNvPr>
        <xdr:cNvSpPr/>
      </xdr:nvSpPr>
      <xdr:spPr>
        <a:xfrm>
          <a:off x="8810626" y="123825"/>
          <a:ext cx="2076450" cy="3524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Locations</a:t>
          </a:r>
          <a:r>
            <a:rPr lang="en-US" sz="1100" baseline="0"/>
            <a:t> &amp; Property Types</a:t>
          </a:r>
          <a:endParaRPr lang="en-US" sz="1100"/>
        </a:p>
      </xdr:txBody>
    </xdr:sp>
    <xdr:clientData/>
  </xdr:twoCellAnchor>
  <xdr:twoCellAnchor>
    <xdr:from>
      <xdr:col>11</xdr:col>
      <xdr:colOff>403104</xdr:colOff>
      <xdr:row>2</xdr:row>
      <xdr:rowOff>104775</xdr:rowOff>
    </xdr:from>
    <xdr:to>
      <xdr:col>19</xdr:col>
      <xdr:colOff>0</xdr:colOff>
      <xdr:row>10</xdr:row>
      <xdr:rowOff>0</xdr:rowOff>
    </xdr:to>
    <xdr:graphicFrame macro="">
      <xdr:nvGraphicFramePr>
        <xdr:cNvPr id="10" name="Chart 9">
          <a:extLst>
            <a:ext uri="{FF2B5EF4-FFF2-40B4-BE49-F238E27FC236}">
              <a16:creationId xmlns:a16="http://schemas.microsoft.com/office/drawing/2014/main" id="{506B794A-A357-497E-B512-CE386FEA83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12</xdr:col>
      <xdr:colOff>0</xdr:colOff>
      <xdr:row>10</xdr:row>
      <xdr:rowOff>42464</xdr:rowOff>
    </xdr:from>
    <xdr:to>
      <xdr:col>19</xdr:col>
      <xdr:colOff>604120</xdr:colOff>
      <xdr:row>16</xdr:row>
      <xdr:rowOff>0</xdr:rowOff>
    </xdr:to>
    <mc:AlternateContent xmlns:mc="http://schemas.openxmlformats.org/markup-compatibility/2006" xmlns:a14="http://schemas.microsoft.com/office/drawing/2010/main">
      <mc:Choice Requires="a14">
        <xdr:graphicFrame macro="">
          <xdr:nvGraphicFramePr>
            <xdr:cNvPr id="11" name="Type">
              <a:extLst>
                <a:ext uri="{FF2B5EF4-FFF2-40B4-BE49-F238E27FC236}">
                  <a16:creationId xmlns:a16="http://schemas.microsoft.com/office/drawing/2014/main" id="{DA476DEA-14E6-458A-BDC6-ABFCA3C78AB6}"/>
                </a:ext>
              </a:extLst>
            </xdr:cNvPr>
            <xdr:cNvGraphicFramePr/>
          </xdr:nvGraphicFramePr>
          <xdr:xfrm>
            <a:off x="0" y="0"/>
            <a:ext cx="0" cy="0"/>
          </xdr:xfrm>
          <a:graphic>
            <a:graphicData uri="http://schemas.microsoft.com/office/drawing/2010/slicer">
              <sle:slicer xmlns:sle="http://schemas.microsoft.com/office/drawing/2010/slicer" name="Type"/>
            </a:graphicData>
          </a:graphic>
        </xdr:graphicFrame>
      </mc:Choice>
      <mc:Fallback xmlns="">
        <xdr:sp macro="" textlink="">
          <xdr:nvSpPr>
            <xdr:cNvPr id="0" name=""/>
            <xdr:cNvSpPr>
              <a:spLocks noTextEdit="1"/>
            </xdr:cNvSpPr>
          </xdr:nvSpPr>
          <xdr:spPr>
            <a:xfrm>
              <a:off x="8063630" y="2260615"/>
              <a:ext cx="5888538" cy="128842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202450</xdr:colOff>
      <xdr:row>17</xdr:row>
      <xdr:rowOff>85725</xdr:rowOff>
    </xdr:from>
    <xdr:to>
      <xdr:col>14</xdr:col>
      <xdr:colOff>1071562</xdr:colOff>
      <xdr:row>19</xdr:row>
      <xdr:rowOff>0</xdr:rowOff>
    </xdr:to>
    <xdr:sp macro="" textlink="">
      <xdr:nvSpPr>
        <xdr:cNvPr id="12" name="Rectangle: Rounded Corners 11">
          <a:extLst>
            <a:ext uri="{FF2B5EF4-FFF2-40B4-BE49-F238E27FC236}">
              <a16:creationId xmlns:a16="http://schemas.microsoft.com/office/drawing/2014/main" id="{B50013BD-CCF3-4CE2-BCED-743A4C70EE33}"/>
            </a:ext>
          </a:extLst>
        </xdr:cNvPr>
        <xdr:cNvSpPr/>
      </xdr:nvSpPr>
      <xdr:spPr>
        <a:xfrm>
          <a:off x="7179513" y="3729038"/>
          <a:ext cx="3155112" cy="3429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Profits</a:t>
          </a:r>
        </a:p>
      </xdr:txBody>
    </xdr:sp>
    <xdr:clientData/>
  </xdr:twoCellAnchor>
  <xdr:twoCellAnchor>
    <xdr:from>
      <xdr:col>15</xdr:col>
      <xdr:colOff>352842</xdr:colOff>
      <xdr:row>19</xdr:row>
      <xdr:rowOff>23813</xdr:rowOff>
    </xdr:from>
    <xdr:to>
      <xdr:col>20</xdr:col>
      <xdr:colOff>559594</xdr:colOff>
      <xdr:row>30</xdr:row>
      <xdr:rowOff>0</xdr:rowOff>
    </xdr:to>
    <xdr:graphicFrame macro="">
      <xdr:nvGraphicFramePr>
        <xdr:cNvPr id="13" name="Chart 12">
          <a:extLst>
            <a:ext uri="{FF2B5EF4-FFF2-40B4-BE49-F238E27FC236}">
              <a16:creationId xmlns:a16="http://schemas.microsoft.com/office/drawing/2014/main" id="{B0DCBB5A-4F1D-444A-84F3-55FFAB487F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19</xdr:row>
      <xdr:rowOff>0</xdr:rowOff>
    </xdr:from>
    <xdr:to>
      <xdr:col>22</xdr:col>
      <xdr:colOff>314476</xdr:colOff>
      <xdr:row>29</xdr:row>
      <xdr:rowOff>45358</xdr:rowOff>
    </xdr:to>
    <mc:AlternateContent xmlns:mc="http://schemas.openxmlformats.org/markup-compatibility/2006" xmlns:a14="http://schemas.microsoft.com/office/drawing/2010/main">
      <mc:Choice Requires="a14">
        <xdr:graphicFrame macro="">
          <xdr:nvGraphicFramePr>
            <xdr:cNvPr id="14" name="Prop Name">
              <a:extLst>
                <a:ext uri="{FF2B5EF4-FFF2-40B4-BE49-F238E27FC236}">
                  <a16:creationId xmlns:a16="http://schemas.microsoft.com/office/drawing/2014/main" id="{F0EA621A-0860-4528-A999-2442CE9A415E}"/>
                </a:ext>
              </a:extLst>
            </xdr:cNvPr>
            <xdr:cNvGraphicFramePr/>
          </xdr:nvGraphicFramePr>
          <xdr:xfrm>
            <a:off x="0" y="0"/>
            <a:ext cx="0" cy="0"/>
          </xdr:xfrm>
          <a:graphic>
            <a:graphicData uri="http://schemas.microsoft.com/office/drawing/2010/slicer">
              <sle:slicer xmlns:sle="http://schemas.microsoft.com/office/drawing/2010/slicer" name="Prop Name"/>
            </a:graphicData>
          </a:graphic>
        </xdr:graphicFrame>
      </mc:Choice>
      <mc:Fallback xmlns="">
        <xdr:sp macro="" textlink="">
          <xdr:nvSpPr>
            <xdr:cNvPr id="0" name=""/>
            <xdr:cNvSpPr>
              <a:spLocks noTextEdit="1"/>
            </xdr:cNvSpPr>
          </xdr:nvSpPr>
          <xdr:spPr>
            <a:xfrm>
              <a:off x="15279144" y="4214486"/>
              <a:ext cx="1006017" cy="226350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16</xdr:col>
      <xdr:colOff>0</xdr:colOff>
      <xdr:row>16</xdr:row>
      <xdr:rowOff>190501</xdr:rowOff>
    </xdr:from>
    <xdr:to>
      <xdr:col>19</xdr:col>
      <xdr:colOff>19051</xdr:colOff>
      <xdr:row>18</xdr:row>
      <xdr:rowOff>108179</xdr:rowOff>
    </xdr:to>
    <xdr:sp macro="" textlink="">
      <xdr:nvSpPr>
        <xdr:cNvPr id="15" name="Rectangle: Rounded Corners 14">
          <a:extLst>
            <a:ext uri="{FF2B5EF4-FFF2-40B4-BE49-F238E27FC236}">
              <a16:creationId xmlns:a16="http://schemas.microsoft.com/office/drawing/2014/main" id="{5B07F9FF-5FA5-4ABD-A427-BD3F08F6B1BA}"/>
            </a:ext>
          </a:extLst>
        </xdr:cNvPr>
        <xdr:cNvSpPr/>
      </xdr:nvSpPr>
      <xdr:spPr>
        <a:xfrm>
          <a:off x="11215688" y="3619501"/>
          <a:ext cx="2090738" cy="34630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Transactions Types</a:t>
          </a:r>
        </a:p>
      </xdr:txBody>
    </xdr:sp>
    <xdr:clientData/>
  </xdr:twoCellAnchor>
  <xdr:twoCellAnchor>
    <xdr:from>
      <xdr:col>3</xdr:col>
      <xdr:colOff>0</xdr:colOff>
      <xdr:row>21</xdr:row>
      <xdr:rowOff>0</xdr:rowOff>
    </xdr:from>
    <xdr:to>
      <xdr:col>10</xdr:col>
      <xdr:colOff>571500</xdr:colOff>
      <xdr:row>33</xdr:row>
      <xdr:rowOff>130629</xdr:rowOff>
    </xdr:to>
    <xdr:graphicFrame macro="">
      <xdr:nvGraphicFramePr>
        <xdr:cNvPr id="16" name="Chart 15">
          <a:extLst>
            <a:ext uri="{FF2B5EF4-FFF2-40B4-BE49-F238E27FC236}">
              <a16:creationId xmlns:a16="http://schemas.microsoft.com/office/drawing/2014/main" id="{2A7CAC3F-F3BF-487F-AE3D-B15BD2CDE8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xdr:col>
      <xdr:colOff>143631</xdr:colOff>
      <xdr:row>21</xdr:row>
      <xdr:rowOff>0</xdr:rowOff>
    </xdr:from>
    <xdr:to>
      <xdr:col>3</xdr:col>
      <xdr:colOff>0</xdr:colOff>
      <xdr:row>33</xdr:row>
      <xdr:rowOff>197304</xdr:rowOff>
    </xdr:to>
    <mc:AlternateContent xmlns:mc="http://schemas.openxmlformats.org/markup-compatibility/2006" xmlns:a14="http://schemas.microsoft.com/office/drawing/2010/main">
      <mc:Choice Requires="a14">
        <xdr:graphicFrame macro="">
          <xdr:nvGraphicFramePr>
            <xdr:cNvPr id="17" name="Prop Name 1">
              <a:extLst>
                <a:ext uri="{FF2B5EF4-FFF2-40B4-BE49-F238E27FC236}">
                  <a16:creationId xmlns:a16="http://schemas.microsoft.com/office/drawing/2014/main" id="{F1300D53-09F5-4465-9807-BD38826630FE}"/>
                </a:ext>
              </a:extLst>
            </xdr:cNvPr>
            <xdr:cNvGraphicFramePr/>
          </xdr:nvGraphicFramePr>
          <xdr:xfrm>
            <a:off x="0" y="0"/>
            <a:ext cx="0" cy="0"/>
          </xdr:xfrm>
          <a:graphic>
            <a:graphicData uri="http://schemas.microsoft.com/office/drawing/2010/slicer">
              <sle:slicer xmlns:sle="http://schemas.microsoft.com/office/drawing/2010/slicer" name="Prop Name 1"/>
            </a:graphicData>
          </a:graphic>
        </xdr:graphicFrame>
      </mc:Choice>
      <mc:Fallback xmlns="">
        <xdr:sp macro="" textlink="">
          <xdr:nvSpPr>
            <xdr:cNvPr id="0" name=""/>
            <xdr:cNvSpPr>
              <a:spLocks noTextEdit="1"/>
            </xdr:cNvSpPr>
          </xdr:nvSpPr>
          <xdr:spPr>
            <a:xfrm>
              <a:off x="221919" y="4658116"/>
              <a:ext cx="1239451" cy="285908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375557</xdr:colOff>
      <xdr:row>18</xdr:row>
      <xdr:rowOff>167367</xdr:rowOff>
    </xdr:from>
    <xdr:to>
      <xdr:col>6</xdr:col>
      <xdr:colOff>394607</xdr:colOff>
      <xdr:row>20</xdr:row>
      <xdr:rowOff>81642</xdr:rowOff>
    </xdr:to>
    <xdr:sp macro="" textlink="">
      <xdr:nvSpPr>
        <xdr:cNvPr id="18" name="Rectangle: Rounded Corners 17">
          <a:extLst>
            <a:ext uri="{FF2B5EF4-FFF2-40B4-BE49-F238E27FC236}">
              <a16:creationId xmlns:a16="http://schemas.microsoft.com/office/drawing/2014/main" id="{0BD32E4E-7DDB-472B-B5A6-09D8256818AD}"/>
            </a:ext>
          </a:extLst>
        </xdr:cNvPr>
        <xdr:cNvSpPr/>
      </xdr:nvSpPr>
      <xdr:spPr>
        <a:xfrm>
          <a:off x="1817914" y="4086224"/>
          <a:ext cx="2060122" cy="34970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Transaction</a:t>
          </a:r>
          <a:r>
            <a:rPr lang="en-US" sz="1100" baseline="0"/>
            <a:t> Type by Units</a:t>
          </a:r>
          <a:endParaRPr lang="en-US" sz="1100"/>
        </a:p>
      </xdr:txBody>
    </xdr:sp>
    <xdr:clientData/>
  </xdr:twoCellAnchor>
  <xdr:twoCellAnchor editAs="oneCell">
    <xdr:from>
      <xdr:col>10</xdr:col>
      <xdr:colOff>642937</xdr:colOff>
      <xdr:row>30</xdr:row>
      <xdr:rowOff>0</xdr:rowOff>
    </xdr:from>
    <xdr:to>
      <xdr:col>17</xdr:col>
      <xdr:colOff>574108</xdr:colOff>
      <xdr:row>36</xdr:row>
      <xdr:rowOff>0</xdr:rowOff>
    </xdr:to>
    <mc:AlternateContent xmlns:mc="http://schemas.openxmlformats.org/markup-compatibility/2006" xmlns:tsle="http://schemas.microsoft.com/office/drawing/2012/timeslicer">
      <mc:Choice Requires="tsle">
        <xdr:graphicFrame macro="">
          <xdr:nvGraphicFramePr>
            <xdr:cNvPr id="19" name="Date">
              <a:extLst>
                <a:ext uri="{FF2B5EF4-FFF2-40B4-BE49-F238E27FC236}">
                  <a16:creationId xmlns:a16="http://schemas.microsoft.com/office/drawing/2014/main" id="{6AFE583E-23C7-4E3B-BD54-262DCD004D87}"/>
                </a:ext>
              </a:extLst>
            </xdr:cNvPr>
            <xdr:cNvGraphicFramePr/>
          </xdr:nvGraphicFramePr>
          <xdr:xfrm>
            <a:off x="0" y="0"/>
            <a:ext cx="0" cy="0"/>
          </xdr:xfrm>
          <a:graphic>
            <a:graphicData uri="http://schemas.microsoft.com/office/drawing/2012/timeslicer">
              <tsle:timeslicer name="Date"/>
            </a:graphicData>
          </a:graphic>
        </xdr:graphicFrame>
      </mc:Choice>
      <mc:Fallback xmlns="">
        <xdr:sp macro="" textlink="">
          <xdr:nvSpPr>
            <xdr:cNvPr id="0" name=""/>
            <xdr:cNvSpPr>
              <a:spLocks noTextEdit="1"/>
            </xdr:cNvSpPr>
          </xdr:nvSpPr>
          <xdr:spPr>
            <a:xfrm>
              <a:off x="6945096" y="6654452"/>
              <a:ext cx="5414897" cy="133089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editAs="oneCell">
    <xdr:from>
      <xdr:col>4</xdr:col>
      <xdr:colOff>285750</xdr:colOff>
      <xdr:row>14</xdr:row>
      <xdr:rowOff>38100</xdr:rowOff>
    </xdr:from>
    <xdr:to>
      <xdr:col>7</xdr:col>
      <xdr:colOff>266700</xdr:colOff>
      <xdr:row>15</xdr:row>
      <xdr:rowOff>97448</xdr:rowOff>
    </xdr:to>
    <xdr:grpSp>
      <xdr:nvGrpSpPr>
        <xdr:cNvPr id="56" name="ExistGrp">
          <a:extLst>
            <a:ext uri="{FF2B5EF4-FFF2-40B4-BE49-F238E27FC236}">
              <a16:creationId xmlns:a16="http://schemas.microsoft.com/office/drawing/2014/main" id="{A53BDC92-FF67-475C-A3C5-22B28B94C9A5}"/>
            </a:ext>
          </a:extLst>
        </xdr:cNvPr>
        <xdr:cNvGrpSpPr/>
      </xdr:nvGrpSpPr>
      <xdr:grpSpPr>
        <a:xfrm>
          <a:off x="3314700" y="3305175"/>
          <a:ext cx="3295650" cy="278423"/>
          <a:chOff x="3190875" y="2876550"/>
          <a:chExt cx="3295650" cy="276225"/>
        </a:xfrm>
      </xdr:grpSpPr>
      <xdr:sp macro="[0]!property_NewAddition" textlink="">
        <xdr:nvSpPr>
          <xdr:cNvPr id="57" name="Rectangle: Rounded Corners 7">
            <a:extLst>
              <a:ext uri="{FF2B5EF4-FFF2-40B4-BE49-F238E27FC236}">
                <a16:creationId xmlns:a16="http://schemas.microsoft.com/office/drawing/2014/main" id="{6CEDACC3-8940-4D6F-A5F3-ED30D644D95B}"/>
              </a:ext>
            </a:extLst>
          </xdr:cNvPr>
          <xdr:cNvSpPr/>
        </xdr:nvSpPr>
        <xdr:spPr>
          <a:xfrm>
            <a:off x="3190875" y="2876550"/>
            <a:ext cx="876300" cy="2762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New</a:t>
            </a:r>
          </a:p>
        </xdr:txBody>
      </xdr:sp>
      <xdr:sp macro="[0]!property_saveUpdate" textlink="">
        <xdr:nvSpPr>
          <xdr:cNvPr id="58" name="Rectangle: Rounded Corners 23">
            <a:extLst>
              <a:ext uri="{FF2B5EF4-FFF2-40B4-BE49-F238E27FC236}">
                <a16:creationId xmlns:a16="http://schemas.microsoft.com/office/drawing/2014/main" id="{56748AB9-7CAC-4F1E-8A88-30A8EFC5911F}"/>
              </a:ext>
            </a:extLst>
          </xdr:cNvPr>
          <xdr:cNvSpPr/>
        </xdr:nvSpPr>
        <xdr:spPr>
          <a:xfrm>
            <a:off x="4352925" y="2876550"/>
            <a:ext cx="962025" cy="2476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Update</a:t>
            </a:r>
          </a:p>
        </xdr:txBody>
      </xdr:sp>
      <xdr:sp macro="[0]!property_delete" textlink="">
        <xdr:nvSpPr>
          <xdr:cNvPr id="59" name="Rectangle: Rounded Corners 24">
            <a:extLst>
              <a:ext uri="{FF2B5EF4-FFF2-40B4-BE49-F238E27FC236}">
                <a16:creationId xmlns:a16="http://schemas.microsoft.com/office/drawing/2014/main" id="{DE98B6F6-D735-4315-AED3-429408173A24}"/>
              </a:ext>
            </a:extLst>
          </xdr:cNvPr>
          <xdr:cNvSpPr/>
        </xdr:nvSpPr>
        <xdr:spPr>
          <a:xfrm>
            <a:off x="5524500" y="2886075"/>
            <a:ext cx="962025" cy="2476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Delete</a:t>
            </a:r>
          </a:p>
        </xdr:txBody>
      </xdr:sp>
    </xdr:grpSp>
    <xdr:clientData/>
  </xdr:twoCellAnchor>
  <xdr:twoCellAnchor>
    <xdr:from>
      <xdr:col>5</xdr:col>
      <xdr:colOff>647700</xdr:colOff>
      <xdr:row>14</xdr:row>
      <xdr:rowOff>0</xdr:rowOff>
    </xdr:from>
    <xdr:to>
      <xdr:col>7</xdr:col>
      <xdr:colOff>676275</xdr:colOff>
      <xdr:row>15</xdr:row>
      <xdr:rowOff>152400</xdr:rowOff>
    </xdr:to>
    <xdr:grpSp>
      <xdr:nvGrpSpPr>
        <xdr:cNvPr id="41" name="NewGrp" hidden="1">
          <a:extLst>
            <a:ext uri="{FF2B5EF4-FFF2-40B4-BE49-F238E27FC236}">
              <a16:creationId xmlns:a16="http://schemas.microsoft.com/office/drawing/2014/main" id="{E34E3F93-0FE0-4849-AB11-7A762A41F23B}"/>
            </a:ext>
          </a:extLst>
        </xdr:cNvPr>
        <xdr:cNvGrpSpPr/>
      </xdr:nvGrpSpPr>
      <xdr:grpSpPr>
        <a:xfrm>
          <a:off x="4962525" y="3267075"/>
          <a:ext cx="2057400" cy="371475"/>
          <a:chOff x="4781550" y="2809875"/>
          <a:chExt cx="2057400" cy="333375"/>
        </a:xfrm>
      </xdr:grpSpPr>
      <xdr:sp macro="[0]!property_saveUpdate" textlink="">
        <xdr:nvSpPr>
          <xdr:cNvPr id="42" name="save" hidden="1">
            <a:extLst>
              <a:ext uri="{FF2B5EF4-FFF2-40B4-BE49-F238E27FC236}">
                <a16:creationId xmlns:a16="http://schemas.microsoft.com/office/drawing/2014/main" id="{BCE7B106-105B-4BB1-8421-D9C95ADAD614}"/>
              </a:ext>
            </a:extLst>
          </xdr:cNvPr>
          <xdr:cNvSpPr/>
        </xdr:nvSpPr>
        <xdr:spPr>
          <a:xfrm>
            <a:off x="4781550" y="2809875"/>
            <a:ext cx="971550" cy="3333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Save</a:t>
            </a:r>
          </a:p>
        </xdr:txBody>
      </xdr:sp>
      <xdr:sp macro="[0]!property_cancelNew" textlink="">
        <xdr:nvSpPr>
          <xdr:cNvPr id="43" name="Rectangle: Rounded Corners 1" hidden="1">
            <a:extLst>
              <a:ext uri="{FF2B5EF4-FFF2-40B4-BE49-F238E27FC236}">
                <a16:creationId xmlns:a16="http://schemas.microsoft.com/office/drawing/2014/main" id="{04124F70-AAF5-4EC4-82E5-4A63EA580348}"/>
              </a:ext>
            </a:extLst>
          </xdr:cNvPr>
          <xdr:cNvSpPr/>
        </xdr:nvSpPr>
        <xdr:spPr>
          <a:xfrm>
            <a:off x="5981700" y="2809876"/>
            <a:ext cx="857250" cy="33337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Cancel</a:t>
            </a:r>
          </a:p>
        </xdr:txBody>
      </xdr:sp>
    </xdr:grpSp>
    <xdr:clientData/>
  </xdr:twoCellAnchor>
  <xdr:twoCellAnchor editAs="oneCell">
    <xdr:from>
      <xdr:col>0</xdr:col>
      <xdr:colOff>87923</xdr:colOff>
      <xdr:row>0</xdr:row>
      <xdr:rowOff>109904</xdr:rowOff>
    </xdr:from>
    <xdr:to>
      <xdr:col>0</xdr:col>
      <xdr:colOff>687998</xdr:colOff>
      <xdr:row>2</xdr:row>
      <xdr:rowOff>167787</xdr:rowOff>
    </xdr:to>
    <xdr:pic macro="[0]!Menu_Home">
      <xdr:nvPicPr>
        <xdr:cNvPr id="10" name="Picture 9">
          <a:extLst>
            <a:ext uri="{FF2B5EF4-FFF2-40B4-BE49-F238E27FC236}">
              <a16:creationId xmlns:a16="http://schemas.microsoft.com/office/drawing/2014/main" id="{0D35AEDC-AC52-4AFB-BAE0-7BE9DEC0010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7923" y="109904"/>
          <a:ext cx="600075" cy="600075"/>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5</xdr:col>
      <xdr:colOff>466726</xdr:colOff>
      <xdr:row>14</xdr:row>
      <xdr:rowOff>76200</xdr:rowOff>
    </xdr:from>
    <xdr:to>
      <xdr:col>9</xdr:col>
      <xdr:colOff>47626</xdr:colOff>
      <xdr:row>16</xdr:row>
      <xdr:rowOff>19050</xdr:rowOff>
    </xdr:to>
    <xdr:grpSp>
      <xdr:nvGrpSpPr>
        <xdr:cNvPr id="3" name="ExistGrprrrr" hidden="1">
          <a:extLst>
            <a:ext uri="{FF2B5EF4-FFF2-40B4-BE49-F238E27FC236}">
              <a16:creationId xmlns:a16="http://schemas.microsoft.com/office/drawing/2014/main" id="{E46BF006-F380-47FF-92DF-699D9F31F158}"/>
            </a:ext>
          </a:extLst>
        </xdr:cNvPr>
        <xdr:cNvGrpSpPr/>
      </xdr:nvGrpSpPr>
      <xdr:grpSpPr>
        <a:xfrm>
          <a:off x="6181726" y="3676650"/>
          <a:ext cx="4171950" cy="457200"/>
          <a:chOff x="2981326" y="3095625"/>
          <a:chExt cx="3390900" cy="361950"/>
        </a:xfrm>
      </xdr:grpSpPr>
      <xdr:sp macro="[0]!Unit_AddNew" textlink="">
        <xdr:nvSpPr>
          <xdr:cNvPr id="2" name="Rectangle: Rounded Corners 1" hidden="1">
            <a:extLst>
              <a:ext uri="{FF2B5EF4-FFF2-40B4-BE49-F238E27FC236}">
                <a16:creationId xmlns:a16="http://schemas.microsoft.com/office/drawing/2014/main" id="{BECBF12B-490A-4444-9D25-8DEE74535D98}"/>
              </a:ext>
            </a:extLst>
          </xdr:cNvPr>
          <xdr:cNvSpPr/>
        </xdr:nvSpPr>
        <xdr:spPr>
          <a:xfrm>
            <a:off x="2981326" y="3095625"/>
            <a:ext cx="876300" cy="3429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New</a:t>
            </a:r>
          </a:p>
        </xdr:txBody>
      </xdr:sp>
      <xdr:sp macro="[0]!Unit_AddNew" textlink="">
        <xdr:nvSpPr>
          <xdr:cNvPr id="6" name="Rectangle: Rounded Corners 5" hidden="1">
            <a:extLst>
              <a:ext uri="{FF2B5EF4-FFF2-40B4-BE49-F238E27FC236}">
                <a16:creationId xmlns:a16="http://schemas.microsoft.com/office/drawing/2014/main" id="{54641B42-A36A-4661-B137-A642E1C9522D}"/>
              </a:ext>
            </a:extLst>
          </xdr:cNvPr>
          <xdr:cNvSpPr/>
        </xdr:nvSpPr>
        <xdr:spPr>
          <a:xfrm>
            <a:off x="5343526" y="3095625"/>
            <a:ext cx="1028700" cy="3429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Delete</a:t>
            </a:r>
          </a:p>
        </xdr:txBody>
      </xdr:sp>
      <xdr:sp macro="[0]!Unit_AddNew" textlink="">
        <xdr:nvSpPr>
          <xdr:cNvPr id="7" name="Rectangle: Rounded Corners 6" hidden="1">
            <a:extLst>
              <a:ext uri="{FF2B5EF4-FFF2-40B4-BE49-F238E27FC236}">
                <a16:creationId xmlns:a16="http://schemas.microsoft.com/office/drawing/2014/main" id="{711BBBFE-7465-48DF-B438-EA61CF3F6B60}"/>
              </a:ext>
            </a:extLst>
          </xdr:cNvPr>
          <xdr:cNvSpPr/>
        </xdr:nvSpPr>
        <xdr:spPr>
          <a:xfrm>
            <a:off x="4224338" y="3114675"/>
            <a:ext cx="819150" cy="3429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Update</a:t>
            </a:r>
          </a:p>
        </xdr:txBody>
      </xdr:sp>
    </xdr:grpSp>
    <xdr:clientData/>
  </xdr:twoCellAnchor>
  <xdr:twoCellAnchor>
    <xdr:from>
      <xdr:col>4</xdr:col>
      <xdr:colOff>285750</xdr:colOff>
      <xdr:row>14</xdr:row>
      <xdr:rowOff>38100</xdr:rowOff>
    </xdr:from>
    <xdr:to>
      <xdr:col>8</xdr:col>
      <xdr:colOff>1352550</xdr:colOff>
      <xdr:row>15</xdr:row>
      <xdr:rowOff>161925</xdr:rowOff>
    </xdr:to>
    <xdr:grpSp>
      <xdr:nvGrpSpPr>
        <xdr:cNvPr id="8" name="ExistGrp" hidden="1">
          <a:extLst>
            <a:ext uri="{FF2B5EF4-FFF2-40B4-BE49-F238E27FC236}">
              <a16:creationId xmlns:a16="http://schemas.microsoft.com/office/drawing/2014/main" id="{583B1065-7FD5-44BA-8CA8-AE345801C094}"/>
            </a:ext>
          </a:extLst>
        </xdr:cNvPr>
        <xdr:cNvGrpSpPr/>
      </xdr:nvGrpSpPr>
      <xdr:grpSpPr>
        <a:xfrm>
          <a:off x="4714875" y="3638550"/>
          <a:ext cx="5067300" cy="381000"/>
          <a:chOff x="3133725" y="3638550"/>
          <a:chExt cx="5067300" cy="381000"/>
        </a:xfrm>
      </xdr:grpSpPr>
      <xdr:sp macro="[0]!Unit_AddNew" textlink="">
        <xdr:nvSpPr>
          <xdr:cNvPr id="32" name="Rectangle: Rounded Corners 31" hidden="1">
            <a:extLst>
              <a:ext uri="{FF2B5EF4-FFF2-40B4-BE49-F238E27FC236}">
                <a16:creationId xmlns:a16="http://schemas.microsoft.com/office/drawing/2014/main" id="{FA41BAD2-A213-40D7-938E-C6E5F20DC236}"/>
              </a:ext>
            </a:extLst>
          </xdr:cNvPr>
          <xdr:cNvSpPr/>
        </xdr:nvSpPr>
        <xdr:spPr>
          <a:xfrm>
            <a:off x="3133725" y="3638550"/>
            <a:ext cx="1347375" cy="3810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New</a:t>
            </a:r>
          </a:p>
        </xdr:txBody>
      </xdr:sp>
      <xdr:sp macro="[0]!Unit_SaveUpdate" textlink="">
        <xdr:nvSpPr>
          <xdr:cNvPr id="33" name="Rectangle: Rounded Corners 32" hidden="1">
            <a:extLst>
              <a:ext uri="{FF2B5EF4-FFF2-40B4-BE49-F238E27FC236}">
                <a16:creationId xmlns:a16="http://schemas.microsoft.com/office/drawing/2014/main" id="{B02430F9-02B7-4408-B59C-969204298BB2}"/>
              </a:ext>
            </a:extLst>
          </xdr:cNvPr>
          <xdr:cNvSpPr/>
        </xdr:nvSpPr>
        <xdr:spPr>
          <a:xfrm>
            <a:off x="4920461" y="3638550"/>
            <a:ext cx="1479183" cy="34158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Update</a:t>
            </a:r>
          </a:p>
        </xdr:txBody>
      </xdr:sp>
      <xdr:sp macro="[0]!Unit_Delete" textlink="">
        <xdr:nvSpPr>
          <xdr:cNvPr id="34" name="Rectangle: Rounded Corners 33" hidden="1">
            <a:extLst>
              <a:ext uri="{FF2B5EF4-FFF2-40B4-BE49-F238E27FC236}">
                <a16:creationId xmlns:a16="http://schemas.microsoft.com/office/drawing/2014/main" id="{9351F414-41CF-4942-A357-49CFBC9A0694}"/>
              </a:ext>
            </a:extLst>
          </xdr:cNvPr>
          <xdr:cNvSpPr/>
        </xdr:nvSpPr>
        <xdr:spPr>
          <a:xfrm>
            <a:off x="6721842" y="3651688"/>
            <a:ext cx="1479183" cy="34158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Delete</a:t>
            </a:r>
          </a:p>
        </xdr:txBody>
      </xdr:sp>
    </xdr:grpSp>
    <xdr:clientData/>
  </xdr:twoCellAnchor>
  <xdr:twoCellAnchor>
    <xdr:from>
      <xdr:col>5</xdr:col>
      <xdr:colOff>152400</xdr:colOff>
      <xdr:row>13</xdr:row>
      <xdr:rowOff>95251</xdr:rowOff>
    </xdr:from>
    <xdr:to>
      <xdr:col>6</xdr:col>
      <xdr:colOff>1076325</xdr:colOff>
      <xdr:row>14</xdr:row>
      <xdr:rowOff>95250</xdr:rowOff>
    </xdr:to>
    <xdr:grpSp>
      <xdr:nvGrpSpPr>
        <xdr:cNvPr id="5" name="NewGrp">
          <a:extLst>
            <a:ext uri="{FF2B5EF4-FFF2-40B4-BE49-F238E27FC236}">
              <a16:creationId xmlns:a16="http://schemas.microsoft.com/office/drawing/2014/main" id="{3BDDFDA5-7B3C-47AA-BDF4-5E230701A997}"/>
            </a:ext>
          </a:extLst>
        </xdr:cNvPr>
        <xdr:cNvGrpSpPr/>
      </xdr:nvGrpSpPr>
      <xdr:grpSpPr>
        <a:xfrm>
          <a:off x="5867400" y="3438526"/>
          <a:ext cx="1609725" cy="257174"/>
          <a:chOff x="5743575" y="3362326"/>
          <a:chExt cx="1790700" cy="257174"/>
        </a:xfrm>
      </xdr:grpSpPr>
      <xdr:sp macro="[0]!Unit_SaveUpdate" textlink="">
        <xdr:nvSpPr>
          <xdr:cNvPr id="38" name="NewGrp1">
            <a:extLst>
              <a:ext uri="{FF2B5EF4-FFF2-40B4-BE49-F238E27FC236}">
                <a16:creationId xmlns:a16="http://schemas.microsoft.com/office/drawing/2014/main" id="{140E9208-0E93-4DDB-B101-A78E29AE174C}"/>
              </a:ext>
            </a:extLst>
          </xdr:cNvPr>
          <xdr:cNvSpPr/>
        </xdr:nvSpPr>
        <xdr:spPr>
          <a:xfrm>
            <a:off x="5743575" y="3362326"/>
            <a:ext cx="733425" cy="2476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SAVE</a:t>
            </a:r>
          </a:p>
        </xdr:txBody>
      </xdr:sp>
      <xdr:sp macro="[0]!units_cancelNew" textlink="">
        <xdr:nvSpPr>
          <xdr:cNvPr id="4" name="Rectangle: Rounded Corners 3">
            <a:extLst>
              <a:ext uri="{FF2B5EF4-FFF2-40B4-BE49-F238E27FC236}">
                <a16:creationId xmlns:a16="http://schemas.microsoft.com/office/drawing/2014/main" id="{D37BCC88-F1D0-4044-B3CF-6CF60AD5A9E4}"/>
              </a:ext>
            </a:extLst>
          </xdr:cNvPr>
          <xdr:cNvSpPr/>
        </xdr:nvSpPr>
        <xdr:spPr>
          <a:xfrm>
            <a:off x="6667500" y="3371850"/>
            <a:ext cx="866775" cy="247650"/>
          </a:xfrm>
          <a:prstGeom prst="roundRect">
            <a:avLst/>
          </a:prstGeom>
          <a:solidFill>
            <a:schemeClr val="accent1"/>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r>
              <a:rPr lang="en-US" sz="1100">
                <a:solidFill>
                  <a:schemeClr val="bg1"/>
                </a:solidFill>
              </a:rPr>
              <a:t>Cancel</a:t>
            </a:r>
          </a:p>
        </xdr:txBody>
      </xdr:sp>
    </xdr:grpSp>
    <xdr:clientData/>
  </xdr:twoCellAnchor>
  <xdr:twoCellAnchor editAs="oneCell">
    <xdr:from>
      <xdr:col>0</xdr:col>
      <xdr:colOff>76200</xdr:colOff>
      <xdr:row>0</xdr:row>
      <xdr:rowOff>85725</xdr:rowOff>
    </xdr:from>
    <xdr:to>
      <xdr:col>0</xdr:col>
      <xdr:colOff>676275</xdr:colOff>
      <xdr:row>2</xdr:row>
      <xdr:rowOff>171450</xdr:rowOff>
    </xdr:to>
    <xdr:pic macro="[0]!Menu_Home">
      <xdr:nvPicPr>
        <xdr:cNvPr id="14" name="Picture 13">
          <a:extLst>
            <a:ext uri="{FF2B5EF4-FFF2-40B4-BE49-F238E27FC236}">
              <a16:creationId xmlns:a16="http://schemas.microsoft.com/office/drawing/2014/main" id="{112FE154-D4F5-48AF-8892-9D7C74E3DA5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0" y="85725"/>
          <a:ext cx="600075" cy="60007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5</xdr:col>
      <xdr:colOff>885824</xdr:colOff>
      <xdr:row>10</xdr:row>
      <xdr:rowOff>133350</xdr:rowOff>
    </xdr:from>
    <xdr:to>
      <xdr:col>9</xdr:col>
      <xdr:colOff>0</xdr:colOff>
      <xdr:row>12</xdr:row>
      <xdr:rowOff>7620</xdr:rowOff>
    </xdr:to>
    <xdr:grpSp>
      <xdr:nvGrpSpPr>
        <xdr:cNvPr id="3" name="NewGrp" hidden="1">
          <a:extLst>
            <a:ext uri="{FF2B5EF4-FFF2-40B4-BE49-F238E27FC236}">
              <a16:creationId xmlns:a16="http://schemas.microsoft.com/office/drawing/2014/main" id="{D8D7C41F-C647-46AC-888F-FF17E9A619AA}"/>
            </a:ext>
          </a:extLst>
        </xdr:cNvPr>
        <xdr:cNvGrpSpPr/>
      </xdr:nvGrpSpPr>
      <xdr:grpSpPr>
        <a:xfrm>
          <a:off x="3933824" y="2505075"/>
          <a:ext cx="2800351" cy="331470"/>
          <a:chOff x="2781299" y="3695700"/>
          <a:chExt cx="2800351" cy="331470"/>
        </a:xfrm>
      </xdr:grpSpPr>
      <xdr:sp macro="[0]!trans_saveUpdate" textlink="">
        <xdr:nvSpPr>
          <xdr:cNvPr id="22" name="Rectangle: Rounded Corners 21" hidden="1">
            <a:extLst>
              <a:ext uri="{FF2B5EF4-FFF2-40B4-BE49-F238E27FC236}">
                <a16:creationId xmlns:a16="http://schemas.microsoft.com/office/drawing/2014/main" id="{425C4FF4-D67E-48E4-B7D5-012BC446D4AE}"/>
              </a:ext>
            </a:extLst>
          </xdr:cNvPr>
          <xdr:cNvSpPr/>
        </xdr:nvSpPr>
        <xdr:spPr>
          <a:xfrm>
            <a:off x="2781299" y="3695700"/>
            <a:ext cx="1409701" cy="331470"/>
          </a:xfrm>
          <a:prstGeom prst="roundRect">
            <a:avLst/>
          </a:prstGeom>
          <a:ln>
            <a:noFill/>
          </a:ln>
          <a:effectLst/>
          <a:scene3d>
            <a:camera prst="orthographicFront">
              <a:rot lat="0" lon="0" rev="0"/>
            </a:camera>
            <a:lightRig rig="contrasting" dir="t">
              <a:rot lat="0" lon="0" rev="7800000"/>
            </a:lightRig>
          </a:scene3d>
          <a:sp3d>
            <a:bevelT w="139700" h="1397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rPr>
              <a:t>Save</a:t>
            </a:r>
          </a:p>
        </xdr:txBody>
      </xdr:sp>
      <xdr:sp macro="[0]!trans_cancelNew" textlink="">
        <xdr:nvSpPr>
          <xdr:cNvPr id="24" name="Rectangle: Rounded Corners 23" hidden="1">
            <a:extLst>
              <a:ext uri="{FF2B5EF4-FFF2-40B4-BE49-F238E27FC236}">
                <a16:creationId xmlns:a16="http://schemas.microsoft.com/office/drawing/2014/main" id="{D9D8B88B-6F6A-43F0-9521-014FA386D51A}"/>
              </a:ext>
            </a:extLst>
          </xdr:cNvPr>
          <xdr:cNvSpPr/>
        </xdr:nvSpPr>
        <xdr:spPr>
          <a:xfrm>
            <a:off x="4276724" y="3695700"/>
            <a:ext cx="1304926" cy="331470"/>
          </a:xfrm>
          <a:prstGeom prst="roundRect">
            <a:avLst/>
          </a:prstGeom>
          <a:ln>
            <a:noFill/>
          </a:ln>
          <a:effectLst/>
          <a:scene3d>
            <a:camera prst="orthographicFront">
              <a:rot lat="0" lon="0" rev="0"/>
            </a:camera>
            <a:lightRig rig="contrasting" dir="t">
              <a:rot lat="0" lon="0" rev="7800000"/>
            </a:lightRig>
          </a:scene3d>
          <a:sp3d>
            <a:bevelT w="139700" h="1397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rPr>
              <a:t>Cancel</a:t>
            </a:r>
          </a:p>
        </xdr:txBody>
      </xdr:sp>
    </xdr:grpSp>
    <xdr:clientData/>
  </xdr:twoCellAnchor>
  <xdr:twoCellAnchor editAs="oneCell">
    <xdr:from>
      <xdr:col>5</xdr:col>
      <xdr:colOff>666749</xdr:colOff>
      <xdr:row>10</xdr:row>
      <xdr:rowOff>76200</xdr:rowOff>
    </xdr:from>
    <xdr:to>
      <xdr:col>9</xdr:col>
      <xdr:colOff>257175</xdr:colOff>
      <xdr:row>13</xdr:row>
      <xdr:rowOff>140970</xdr:rowOff>
    </xdr:to>
    <xdr:grpSp>
      <xdr:nvGrpSpPr>
        <xdr:cNvPr id="2" name="ExistGrp">
          <a:extLst>
            <a:ext uri="{FF2B5EF4-FFF2-40B4-BE49-F238E27FC236}">
              <a16:creationId xmlns:a16="http://schemas.microsoft.com/office/drawing/2014/main" id="{676A2B95-E831-4403-862B-F2B8E1F3E8B0}"/>
            </a:ext>
          </a:extLst>
        </xdr:cNvPr>
        <xdr:cNvGrpSpPr/>
      </xdr:nvGrpSpPr>
      <xdr:grpSpPr>
        <a:xfrm>
          <a:off x="3714749" y="2447925"/>
          <a:ext cx="3276601" cy="750570"/>
          <a:chOff x="2333624" y="2809875"/>
          <a:chExt cx="3276601" cy="750570"/>
        </a:xfrm>
      </xdr:grpSpPr>
      <xdr:sp macro="[0]!trans_AddNew" textlink="">
        <xdr:nvSpPr>
          <xdr:cNvPr id="21" name="Rectangle: Rounded Corners 20">
            <a:extLst>
              <a:ext uri="{FF2B5EF4-FFF2-40B4-BE49-F238E27FC236}">
                <a16:creationId xmlns:a16="http://schemas.microsoft.com/office/drawing/2014/main" id="{721E1F49-7DBC-4677-8CEA-03535AAEB4A1}"/>
              </a:ext>
            </a:extLst>
          </xdr:cNvPr>
          <xdr:cNvSpPr/>
        </xdr:nvSpPr>
        <xdr:spPr>
          <a:xfrm>
            <a:off x="2333624" y="2809875"/>
            <a:ext cx="1457326" cy="331470"/>
          </a:xfrm>
          <a:prstGeom prst="roundRect">
            <a:avLst/>
          </a:prstGeom>
          <a:ln>
            <a:noFill/>
          </a:ln>
          <a:effectLst/>
          <a:scene3d>
            <a:camera prst="orthographicFront">
              <a:rot lat="0" lon="0" rev="0"/>
            </a:camera>
            <a:lightRig rig="contrasting" dir="t">
              <a:rot lat="0" lon="0" rev="7800000"/>
            </a:lightRig>
          </a:scene3d>
          <a:sp3d>
            <a:bevelT w="139700" h="1397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rPr>
              <a:t>Add New</a:t>
            </a:r>
          </a:p>
        </xdr:txBody>
      </xdr:sp>
      <xdr:sp macro="[0]!trans_saveUpdate" textlink="">
        <xdr:nvSpPr>
          <xdr:cNvPr id="23" name="Rectangle: Rounded Corners 22">
            <a:extLst>
              <a:ext uri="{FF2B5EF4-FFF2-40B4-BE49-F238E27FC236}">
                <a16:creationId xmlns:a16="http://schemas.microsoft.com/office/drawing/2014/main" id="{042C2B15-7944-41A2-86B3-4BBDCE66C064}"/>
              </a:ext>
            </a:extLst>
          </xdr:cNvPr>
          <xdr:cNvSpPr/>
        </xdr:nvSpPr>
        <xdr:spPr>
          <a:xfrm>
            <a:off x="4314824" y="2838450"/>
            <a:ext cx="1295401" cy="331470"/>
          </a:xfrm>
          <a:prstGeom prst="roundRect">
            <a:avLst/>
          </a:prstGeom>
          <a:ln>
            <a:noFill/>
          </a:ln>
          <a:effectLst/>
          <a:scene3d>
            <a:camera prst="orthographicFront">
              <a:rot lat="0" lon="0" rev="0"/>
            </a:camera>
            <a:lightRig rig="contrasting" dir="t">
              <a:rot lat="0" lon="0" rev="7800000"/>
            </a:lightRig>
          </a:scene3d>
          <a:sp3d>
            <a:bevelT w="139700" h="1397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rPr>
              <a:t>Update</a:t>
            </a:r>
          </a:p>
        </xdr:txBody>
      </xdr:sp>
      <xdr:sp macro="[0]!trans_delete" textlink="">
        <xdr:nvSpPr>
          <xdr:cNvPr id="25" name="Rectangle: Rounded Corners 24">
            <a:extLst>
              <a:ext uri="{FF2B5EF4-FFF2-40B4-BE49-F238E27FC236}">
                <a16:creationId xmlns:a16="http://schemas.microsoft.com/office/drawing/2014/main" id="{E466AE32-1D75-41AF-95DE-D749C1739F66}"/>
              </a:ext>
            </a:extLst>
          </xdr:cNvPr>
          <xdr:cNvSpPr/>
        </xdr:nvSpPr>
        <xdr:spPr>
          <a:xfrm>
            <a:off x="3381374" y="3228975"/>
            <a:ext cx="1400176" cy="331470"/>
          </a:xfrm>
          <a:prstGeom prst="roundRect">
            <a:avLst/>
          </a:prstGeom>
          <a:ln>
            <a:noFill/>
          </a:ln>
          <a:effectLst/>
          <a:scene3d>
            <a:camera prst="orthographicFront">
              <a:rot lat="0" lon="0" rev="0"/>
            </a:camera>
            <a:lightRig rig="contrasting" dir="t">
              <a:rot lat="0" lon="0" rev="7800000"/>
            </a:lightRig>
          </a:scene3d>
          <a:sp3d>
            <a:bevelT w="139700" h="1397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rPr>
              <a:t>Delete</a:t>
            </a:r>
          </a:p>
        </xdr:txBody>
      </xdr:sp>
    </xdr:grpSp>
    <xdr:clientData/>
  </xdr:twoCellAnchor>
  <xdr:twoCellAnchor editAs="oneCell">
    <xdr:from>
      <xdr:col>0</xdr:col>
      <xdr:colOff>47625</xdr:colOff>
      <xdr:row>0</xdr:row>
      <xdr:rowOff>104775</xdr:rowOff>
    </xdr:from>
    <xdr:to>
      <xdr:col>0</xdr:col>
      <xdr:colOff>647700</xdr:colOff>
      <xdr:row>2</xdr:row>
      <xdr:rowOff>161925</xdr:rowOff>
    </xdr:to>
    <xdr:pic macro="[0]!Menu_Home">
      <xdr:nvPicPr>
        <xdr:cNvPr id="10" name="Picture 9">
          <a:extLst>
            <a:ext uri="{FF2B5EF4-FFF2-40B4-BE49-F238E27FC236}">
              <a16:creationId xmlns:a16="http://schemas.microsoft.com/office/drawing/2014/main" id="{E121FBDA-9469-482F-AA07-7647D4CD06A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104775"/>
          <a:ext cx="600075" cy="60007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6</xdr:col>
      <xdr:colOff>485774</xdr:colOff>
      <xdr:row>9</xdr:row>
      <xdr:rowOff>19050</xdr:rowOff>
    </xdr:from>
    <xdr:to>
      <xdr:col>10</xdr:col>
      <xdr:colOff>161925</xdr:colOff>
      <xdr:row>10</xdr:row>
      <xdr:rowOff>83820</xdr:rowOff>
    </xdr:to>
    <xdr:grpSp>
      <xdr:nvGrpSpPr>
        <xdr:cNvPr id="2" name="NewGrp">
          <a:extLst>
            <a:ext uri="{FF2B5EF4-FFF2-40B4-BE49-F238E27FC236}">
              <a16:creationId xmlns:a16="http://schemas.microsoft.com/office/drawing/2014/main" id="{4D788FDE-5206-4831-8201-89E02C2CB4F7}"/>
            </a:ext>
          </a:extLst>
        </xdr:cNvPr>
        <xdr:cNvGrpSpPr/>
      </xdr:nvGrpSpPr>
      <xdr:grpSpPr>
        <a:xfrm>
          <a:off x="4371974" y="2162175"/>
          <a:ext cx="3019426" cy="293370"/>
          <a:chOff x="4076699" y="3114675"/>
          <a:chExt cx="3019426" cy="293370"/>
        </a:xfrm>
      </xdr:grpSpPr>
      <xdr:sp macro="[0]!alert_saveUpdate" textlink="">
        <xdr:nvSpPr>
          <xdr:cNvPr id="5" name="Rectangle: Rounded Corners 8">
            <a:extLst>
              <a:ext uri="{FF2B5EF4-FFF2-40B4-BE49-F238E27FC236}">
                <a16:creationId xmlns:a16="http://schemas.microsoft.com/office/drawing/2014/main" id="{7739999A-F7EA-4645-851C-086D3E361BDE}"/>
              </a:ext>
            </a:extLst>
          </xdr:cNvPr>
          <xdr:cNvSpPr/>
        </xdr:nvSpPr>
        <xdr:spPr>
          <a:xfrm>
            <a:off x="4076699" y="3133725"/>
            <a:ext cx="1343026" cy="274320"/>
          </a:xfrm>
          <a:prstGeom prst="roundRect">
            <a:avLst/>
          </a:prstGeom>
          <a:ln>
            <a:noFill/>
          </a:ln>
          <a:effectLst/>
          <a:scene3d>
            <a:camera prst="orthographicFront">
              <a:rot lat="0" lon="0" rev="0"/>
            </a:camera>
            <a:lightRig rig="contrasting" dir="t">
              <a:rot lat="0" lon="0" rev="7800000"/>
            </a:lightRig>
          </a:scene3d>
          <a:sp3d>
            <a:bevelT w="139700" h="1397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rPr>
              <a:t>Save</a:t>
            </a:r>
          </a:p>
        </xdr:txBody>
      </xdr:sp>
      <xdr:sp macro="[0]!alert_cancelNew" textlink="">
        <xdr:nvSpPr>
          <xdr:cNvPr id="6" name="Rectangle: Rounded Corners 10">
            <a:extLst>
              <a:ext uri="{FF2B5EF4-FFF2-40B4-BE49-F238E27FC236}">
                <a16:creationId xmlns:a16="http://schemas.microsoft.com/office/drawing/2014/main" id="{3F1B9190-91C8-4D19-B81F-9C27723CEF8A}"/>
              </a:ext>
            </a:extLst>
          </xdr:cNvPr>
          <xdr:cNvSpPr/>
        </xdr:nvSpPr>
        <xdr:spPr>
          <a:xfrm>
            <a:off x="5534024" y="3114675"/>
            <a:ext cx="1562101" cy="274320"/>
          </a:xfrm>
          <a:prstGeom prst="roundRect">
            <a:avLst/>
          </a:prstGeom>
          <a:ln>
            <a:noFill/>
          </a:ln>
          <a:effectLst/>
          <a:scene3d>
            <a:camera prst="orthographicFront">
              <a:rot lat="0" lon="0" rev="0"/>
            </a:camera>
            <a:lightRig rig="contrasting" dir="t">
              <a:rot lat="0" lon="0" rev="7800000"/>
            </a:lightRig>
          </a:scene3d>
          <a:sp3d>
            <a:bevelT w="139700" h="1397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rPr>
              <a:t>Cancel</a:t>
            </a:r>
          </a:p>
        </xdr:txBody>
      </xdr:sp>
    </xdr:grpSp>
    <xdr:clientData/>
  </xdr:twoCellAnchor>
  <xdr:twoCellAnchor>
    <xdr:from>
      <xdr:col>6</xdr:col>
      <xdr:colOff>19050</xdr:colOff>
      <xdr:row>8</xdr:row>
      <xdr:rowOff>209550</xdr:rowOff>
    </xdr:from>
    <xdr:to>
      <xdr:col>9</xdr:col>
      <xdr:colOff>114300</xdr:colOff>
      <xdr:row>11</xdr:row>
      <xdr:rowOff>169545</xdr:rowOff>
    </xdr:to>
    <xdr:grpSp>
      <xdr:nvGrpSpPr>
        <xdr:cNvPr id="3" name="ExistGrp" hidden="1">
          <a:extLst>
            <a:ext uri="{FF2B5EF4-FFF2-40B4-BE49-F238E27FC236}">
              <a16:creationId xmlns:a16="http://schemas.microsoft.com/office/drawing/2014/main" id="{504237E2-2F33-4D02-8C8C-FE13A42CF024}"/>
            </a:ext>
          </a:extLst>
        </xdr:cNvPr>
        <xdr:cNvGrpSpPr/>
      </xdr:nvGrpSpPr>
      <xdr:grpSpPr>
        <a:xfrm>
          <a:off x="3905250" y="2124075"/>
          <a:ext cx="2752725" cy="645795"/>
          <a:chOff x="3905250" y="2066925"/>
          <a:chExt cx="2752725" cy="617220"/>
        </a:xfrm>
      </xdr:grpSpPr>
      <xdr:sp macro="[0]!alert_saveUpdate" textlink="">
        <xdr:nvSpPr>
          <xdr:cNvPr id="16" name="Rectangle: Rounded Corners 3" hidden="1">
            <a:extLst>
              <a:ext uri="{FF2B5EF4-FFF2-40B4-BE49-F238E27FC236}">
                <a16:creationId xmlns:a16="http://schemas.microsoft.com/office/drawing/2014/main" id="{82B0AD8B-F345-4399-98CE-4B5B615A427A}"/>
              </a:ext>
            </a:extLst>
          </xdr:cNvPr>
          <xdr:cNvSpPr/>
        </xdr:nvSpPr>
        <xdr:spPr>
          <a:xfrm>
            <a:off x="5381624" y="2066925"/>
            <a:ext cx="1276351" cy="302895"/>
          </a:xfrm>
          <a:prstGeom prst="roundRect">
            <a:avLst/>
          </a:prstGeom>
          <a:ln>
            <a:noFill/>
          </a:ln>
          <a:effectLst/>
          <a:scene3d>
            <a:camera prst="orthographicFront">
              <a:rot lat="0" lon="0" rev="0"/>
            </a:camera>
            <a:lightRig rig="contrasting" dir="t">
              <a:rot lat="0" lon="0" rev="7800000"/>
            </a:lightRig>
          </a:scene3d>
          <a:sp3d>
            <a:bevelT w="139700" h="1397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rPr>
              <a:t>Update</a:t>
            </a:r>
          </a:p>
        </xdr:txBody>
      </xdr:sp>
      <xdr:sp macro="[0]!alert_AddNew" textlink="">
        <xdr:nvSpPr>
          <xdr:cNvPr id="18" name="Rectangle: Rounded Corners 7" hidden="1">
            <a:extLst>
              <a:ext uri="{FF2B5EF4-FFF2-40B4-BE49-F238E27FC236}">
                <a16:creationId xmlns:a16="http://schemas.microsoft.com/office/drawing/2014/main" id="{4A521432-396D-462F-83AB-F456DF6D20FC}"/>
              </a:ext>
            </a:extLst>
          </xdr:cNvPr>
          <xdr:cNvSpPr/>
        </xdr:nvSpPr>
        <xdr:spPr>
          <a:xfrm>
            <a:off x="3905250" y="2076450"/>
            <a:ext cx="1228726" cy="257176"/>
          </a:xfrm>
          <a:prstGeom prst="roundRect">
            <a:avLst/>
          </a:prstGeom>
          <a:ln>
            <a:noFill/>
          </a:ln>
          <a:effectLst/>
          <a:scene3d>
            <a:camera prst="orthographicFront">
              <a:rot lat="0" lon="0" rev="0"/>
            </a:camera>
            <a:lightRig rig="contrasting" dir="t">
              <a:rot lat="0" lon="0" rev="7800000"/>
            </a:lightRig>
          </a:scene3d>
          <a:sp3d>
            <a:bevelT w="139700" h="1397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rPr>
              <a:t>Add New</a:t>
            </a:r>
          </a:p>
        </xdr:txBody>
      </xdr:sp>
      <xdr:sp macro="[0]!alert_delete" textlink="">
        <xdr:nvSpPr>
          <xdr:cNvPr id="19" name="Rectangle: Rounded Corners 11" hidden="1">
            <a:extLst>
              <a:ext uri="{FF2B5EF4-FFF2-40B4-BE49-F238E27FC236}">
                <a16:creationId xmlns:a16="http://schemas.microsoft.com/office/drawing/2014/main" id="{F62FC163-CDD6-45D3-908A-1F989C042366}"/>
              </a:ext>
            </a:extLst>
          </xdr:cNvPr>
          <xdr:cNvSpPr/>
        </xdr:nvSpPr>
        <xdr:spPr>
          <a:xfrm>
            <a:off x="4419599" y="2409825"/>
            <a:ext cx="1581151" cy="274320"/>
          </a:xfrm>
          <a:prstGeom prst="roundRect">
            <a:avLst/>
          </a:prstGeom>
          <a:ln>
            <a:noFill/>
          </a:ln>
          <a:effectLst/>
          <a:scene3d>
            <a:camera prst="orthographicFront">
              <a:rot lat="0" lon="0" rev="0"/>
            </a:camera>
            <a:lightRig rig="contrasting" dir="t">
              <a:rot lat="0" lon="0" rev="7800000"/>
            </a:lightRig>
          </a:scene3d>
          <a:sp3d>
            <a:bevelT w="139700" h="1397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rPr>
              <a:t>Delete</a:t>
            </a:r>
          </a:p>
        </xdr:txBody>
      </xdr:sp>
    </xdr:grpSp>
    <xdr:clientData/>
  </xdr:twoCellAnchor>
  <xdr:twoCellAnchor editAs="oneCell">
    <xdr:from>
      <xdr:col>0</xdr:col>
      <xdr:colOff>47625</xdr:colOff>
      <xdr:row>0</xdr:row>
      <xdr:rowOff>76200</xdr:rowOff>
    </xdr:from>
    <xdr:to>
      <xdr:col>0</xdr:col>
      <xdr:colOff>647700</xdr:colOff>
      <xdr:row>2</xdr:row>
      <xdr:rowOff>133350</xdr:rowOff>
    </xdr:to>
    <xdr:pic macro="[0]!Menu_Home">
      <xdr:nvPicPr>
        <xdr:cNvPr id="11" name="Picture 10">
          <a:extLst>
            <a:ext uri="{FF2B5EF4-FFF2-40B4-BE49-F238E27FC236}">
              <a16:creationId xmlns:a16="http://schemas.microsoft.com/office/drawing/2014/main" id="{EE700840-A3AA-4245-8589-B1B9E4F0B96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76200"/>
          <a:ext cx="600075" cy="60007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Rental_Property_Manager_Pt3.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personal/v_nanjala_centum_co_ke/Documents/Desktop/VeronicahNanjala_Work/vero/Rental_Property_Manager_Pt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Properties"/>
      <sheetName val="Units &amp; Tenants"/>
      <sheetName val="Transactions"/>
      <sheetName val="Alerts &amp; Reminders"/>
      <sheetName val="Dashboard"/>
      <sheetName val="PropDB"/>
      <sheetName val="UnitsDB"/>
      <sheetName val="TransDB"/>
      <sheetName val="AlertsDB"/>
      <sheetName val="AttachDB"/>
      <sheetName val="Rental_Property_Manager_Pt3"/>
    </sheetNames>
    <sheetDataSet>
      <sheetData sheetId="0" refreshError="1"/>
      <sheetData sheetId="1" refreshError="1"/>
      <sheetData sheetId="2" refreshError="1"/>
      <sheetData sheetId="3" refreshError="1"/>
      <sheetData sheetId="4" refreshError="1"/>
      <sheetData sheetId="5" refreshError="1"/>
      <sheetData sheetId="6"/>
      <sheetData sheetId="7"/>
      <sheetData sheetId="8"/>
      <sheetData sheetId="9"/>
      <sheetData sheetId="10"/>
      <sheetData sheetId="1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Properties"/>
      <sheetName val="Units &amp; Tenants"/>
      <sheetName val="Transactions"/>
      <sheetName val="Alerts &amp; Reminders"/>
      <sheetName val="Dashboard"/>
      <sheetName val="PropDB"/>
      <sheetName val="UnitsDB"/>
      <sheetName val="TransDB"/>
      <sheetName val="AlertsDB"/>
      <sheetName val="AttachDB"/>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Veronicah Nanjala" refreshedDate="44566.443309606482" createdVersion="7" refreshedVersion="7" minRefreshableVersion="3" recordCount="166" xr:uid="{481E03C6-E60B-4858-9B24-D4B14C26E86B}">
  <cacheSource type="worksheet">
    <worksheetSource ref="A3:I169" sheet="TransDB"/>
  </cacheSource>
  <cacheFields count="9">
    <cacheField name="Trans Id" numFmtId="0">
      <sharedItems containsSemiMixedTypes="0" containsString="0" containsNumber="1" containsInteger="1" minValue="1" maxValue="166"/>
    </cacheField>
    <cacheField name="Prop Name" numFmtId="0">
      <sharedItems count="9">
        <s v="Sam"/>
        <s v="Jennifer"/>
        <s v="Matt"/>
        <s v="JM "/>
        <s v="George"/>
        <s v="Maria "/>
        <s v="Wangas"/>
        <s v="MariAnn"/>
        <s v="Ann"/>
      </sharedItems>
    </cacheField>
    <cacheField name="Trans Name" numFmtId="0">
      <sharedItems count="4">
        <s v="Water"/>
        <s v="Power"/>
        <s v="Rent"/>
        <s v="Levy"/>
      </sharedItems>
    </cacheField>
    <cacheField name="Unit#" numFmtId="0">
      <sharedItems/>
    </cacheField>
    <cacheField name="Date" numFmtId="165">
      <sharedItems containsSemiMixedTypes="0" containsNonDate="0" containsDate="1" containsString="0" minDate="2020-01-03T00:00:00" maxDate="2021-01-01T00:00:00" count="134">
        <d v="2020-02-14T00:00:00"/>
        <d v="2020-08-15T00:00:00"/>
        <d v="2020-08-12T00:00:00"/>
        <d v="2020-11-23T00:00:00"/>
        <d v="2020-08-01T00:00:00"/>
        <d v="2020-05-04T00:00:00"/>
        <d v="2020-07-18T00:00:00"/>
        <d v="2020-09-10T00:00:00"/>
        <d v="2020-10-24T00:00:00"/>
        <d v="2020-08-22T00:00:00"/>
        <d v="2020-11-11T00:00:00"/>
        <d v="2020-10-02T00:00:00"/>
        <d v="2020-12-08T00:00:00"/>
        <d v="2020-08-29T00:00:00"/>
        <d v="2020-09-28T00:00:00"/>
        <d v="2020-05-02T00:00:00"/>
        <d v="2020-10-27T00:00:00"/>
        <d v="2020-01-30T00:00:00"/>
        <d v="2020-09-05T00:00:00"/>
        <d v="2020-10-15T00:00:00"/>
        <d v="2020-02-10T00:00:00"/>
        <d v="2020-09-08T00:00:00"/>
        <d v="2020-05-10T00:00:00"/>
        <d v="2020-09-03T00:00:00"/>
        <d v="2020-09-06T00:00:00"/>
        <d v="2020-03-15T00:00:00"/>
        <d v="2020-09-27T00:00:00"/>
        <d v="2020-04-25T00:00:00"/>
        <d v="2020-06-11T00:00:00"/>
        <d v="2020-12-18T00:00:00"/>
        <d v="2020-03-09T00:00:00"/>
        <d v="2020-09-19T00:00:00"/>
        <d v="2020-09-23T00:00:00"/>
        <d v="2020-08-19T00:00:00"/>
        <d v="2020-02-02T00:00:00"/>
        <d v="2020-07-21T00:00:00"/>
        <d v="2020-09-17T00:00:00"/>
        <d v="2020-12-19T00:00:00"/>
        <d v="2020-10-28T00:00:00"/>
        <d v="2020-09-30T00:00:00"/>
        <d v="2020-11-13T00:00:00"/>
        <d v="2020-06-24T00:00:00"/>
        <d v="2020-05-13T00:00:00"/>
        <d v="2020-11-12T00:00:00"/>
        <d v="2020-12-11T00:00:00"/>
        <d v="2020-06-20T00:00:00"/>
        <d v="2020-06-09T00:00:00"/>
        <d v="2020-01-17T00:00:00"/>
        <d v="2020-03-16T00:00:00"/>
        <d v="2020-06-05T00:00:00"/>
        <d v="2020-08-14T00:00:00"/>
        <d v="2020-08-03T00:00:00"/>
        <d v="2020-06-23T00:00:00"/>
        <d v="2020-05-11T00:00:00"/>
        <d v="2020-10-04T00:00:00"/>
        <d v="2020-05-09T00:00:00"/>
        <d v="2020-11-28T00:00:00"/>
        <d v="2020-10-01T00:00:00"/>
        <d v="2020-01-26T00:00:00"/>
        <d v="2020-04-23T00:00:00"/>
        <d v="2020-10-17T00:00:00"/>
        <d v="2020-10-23T00:00:00"/>
        <d v="2020-10-13T00:00:00"/>
        <d v="2020-05-14T00:00:00"/>
        <d v="2020-03-27T00:00:00"/>
        <d v="2020-09-22T00:00:00"/>
        <d v="2020-11-15T00:00:00"/>
        <d v="2020-12-15T00:00:00"/>
        <d v="2020-06-30T00:00:00"/>
        <d v="2020-07-28T00:00:00"/>
        <d v="2020-05-30T00:00:00"/>
        <d v="2020-03-14T00:00:00"/>
        <d v="2020-05-21T00:00:00"/>
        <d v="2020-03-04T00:00:00"/>
        <d v="2020-09-02T00:00:00"/>
        <d v="2020-05-19T00:00:00"/>
        <d v="2020-04-10T00:00:00"/>
        <d v="2020-11-14T00:00:00"/>
        <d v="2020-11-24T00:00:00"/>
        <d v="2020-04-29T00:00:00"/>
        <d v="2020-01-19T00:00:00"/>
        <d v="2020-03-08T00:00:00"/>
        <d v="2020-03-03T00:00:00"/>
        <d v="2020-02-21T00:00:00"/>
        <d v="2020-05-24T00:00:00"/>
        <d v="2020-12-20T00:00:00"/>
        <d v="2020-12-31T00:00:00"/>
        <d v="2020-08-28T00:00:00"/>
        <d v="2020-01-15T00:00:00"/>
        <d v="2020-11-01T00:00:00"/>
        <d v="2020-11-08T00:00:00"/>
        <d v="2020-04-21T00:00:00"/>
        <d v="2020-06-06T00:00:00"/>
        <d v="2020-09-26T00:00:00"/>
        <d v="2020-09-07T00:00:00"/>
        <d v="2020-12-06T00:00:00"/>
        <d v="2020-01-11T00:00:00"/>
        <d v="2020-02-06T00:00:00"/>
        <d v="2020-08-08T00:00:00"/>
        <d v="2020-03-06T00:00:00"/>
        <d v="2020-01-18T00:00:00"/>
        <d v="2020-11-10T00:00:00"/>
        <d v="2020-07-06T00:00:00"/>
        <d v="2020-04-19T00:00:00"/>
        <d v="2020-01-21T00:00:00"/>
        <d v="2020-08-31T00:00:00"/>
        <d v="2020-04-04T00:00:00"/>
        <d v="2020-12-17T00:00:00"/>
        <d v="2020-12-21T00:00:00"/>
        <d v="2020-07-17T00:00:00"/>
        <d v="2020-11-18T00:00:00"/>
        <d v="2020-06-18T00:00:00"/>
        <d v="2020-04-28T00:00:00"/>
        <d v="2020-10-30T00:00:00"/>
        <d v="2020-06-13T00:00:00"/>
        <d v="2020-10-07T00:00:00"/>
        <d v="2020-06-17T00:00:00"/>
        <d v="2020-08-27T00:00:00"/>
        <d v="2020-06-15T00:00:00"/>
        <d v="2020-12-27T00:00:00"/>
        <d v="2020-06-02T00:00:00"/>
        <d v="2020-04-18T00:00:00"/>
        <d v="2020-01-06T00:00:00"/>
        <d v="2020-01-03T00:00:00"/>
        <d v="2020-08-11T00:00:00"/>
        <d v="2020-07-14T00:00:00"/>
        <d v="2020-02-15T00:00:00"/>
        <d v="2020-05-08T00:00:00"/>
        <d v="2020-08-30T00:00:00"/>
        <d v="2020-03-24T00:00:00"/>
        <d v="2020-07-13T00:00:00"/>
        <d v="2020-07-12T00:00:00"/>
        <d v="2020-10-29T00:00:00"/>
        <d v="2020-04-02T00:00:00"/>
      </sharedItems>
    </cacheField>
    <cacheField name="Details" numFmtId="0">
      <sharedItems/>
    </cacheField>
    <cacheField name="Paid by:" numFmtId="0">
      <sharedItems/>
    </cacheField>
    <cacheField name="Type" numFmtId="0">
      <sharedItems count="2">
        <s v="Expence"/>
        <s v="Income"/>
      </sharedItems>
    </cacheField>
    <cacheField name="Amount " numFmtId="167">
      <sharedItems containsSemiMixedTypes="0" containsString="0" containsNumber="1" containsInteger="1" minValue="70038" maxValue="99755" count="165">
        <n v="72978"/>
        <n v="99558"/>
        <n v="80498"/>
        <n v="76923"/>
        <n v="96334"/>
        <n v="77911"/>
        <n v="88574"/>
        <n v="93015"/>
        <n v="95514"/>
        <n v="96911"/>
        <n v="74235"/>
        <n v="88633"/>
        <n v="85697"/>
        <n v="80147"/>
        <n v="98403"/>
        <n v="80841"/>
        <n v="77398"/>
        <n v="77060"/>
        <n v="84365"/>
        <n v="91864"/>
        <n v="72466"/>
        <n v="98635"/>
        <n v="72439"/>
        <n v="79137"/>
        <n v="81658"/>
        <n v="97011"/>
        <n v="91506"/>
        <n v="88205"/>
        <n v="98466"/>
        <n v="70541"/>
        <n v="71024"/>
        <n v="81097"/>
        <n v="71023"/>
        <n v="88013"/>
        <n v="78896"/>
        <n v="97814"/>
        <n v="90883"/>
        <n v="95920"/>
        <n v="88170"/>
        <n v="74181"/>
        <n v="76665"/>
        <n v="84452"/>
        <n v="89977"/>
        <n v="90004"/>
        <n v="78338"/>
        <n v="77250"/>
        <n v="86362"/>
        <n v="82600"/>
        <n v="85597"/>
        <n v="94574"/>
        <n v="76301"/>
        <n v="77004"/>
        <n v="84031"/>
        <n v="86842"/>
        <n v="81504"/>
        <n v="93812"/>
        <n v="97725"/>
        <n v="85955"/>
        <n v="81781"/>
        <n v="78604"/>
        <n v="89415"/>
        <n v="75066"/>
        <n v="80104"/>
        <n v="72757"/>
        <n v="77001"/>
        <n v="96467"/>
        <n v="80120"/>
        <n v="73920"/>
        <n v="92054"/>
        <n v="80594"/>
        <n v="85113"/>
        <n v="73011"/>
        <n v="88465"/>
        <n v="90685"/>
        <n v="91953"/>
        <n v="92330"/>
        <n v="80317"/>
        <n v="90797"/>
        <n v="85222"/>
        <n v="77236"/>
        <n v="70821"/>
        <n v="93722"/>
        <n v="71895"/>
        <n v="97252"/>
        <n v="72575"/>
        <n v="95406"/>
        <n v="76971"/>
        <n v="99755"/>
        <n v="97217"/>
        <n v="97726"/>
        <n v="93687"/>
        <n v="79581"/>
        <n v="97281"/>
        <n v="82865"/>
        <n v="89568"/>
        <n v="99161"/>
        <n v="95150"/>
        <n v="80785"/>
        <n v="81391"/>
        <n v="88774"/>
        <n v="94111"/>
        <n v="89677"/>
        <n v="83013"/>
        <n v="78180"/>
        <n v="89301"/>
        <n v="92696"/>
        <n v="90020"/>
        <n v="93698"/>
        <n v="82621"/>
        <n v="80930"/>
        <n v="98442"/>
        <n v="87836"/>
        <n v="76690"/>
        <n v="73395"/>
        <n v="77235"/>
        <n v="91640"/>
        <n v="91507"/>
        <n v="97506"/>
        <n v="79947"/>
        <n v="84302"/>
        <n v="71905"/>
        <n v="79044"/>
        <n v="81443"/>
        <n v="83703"/>
        <n v="86602"/>
        <n v="88011"/>
        <n v="83320"/>
        <n v="83372"/>
        <n v="98142"/>
        <n v="94457"/>
        <n v="86784"/>
        <n v="86312"/>
        <n v="70597"/>
        <n v="71979"/>
        <n v="74266"/>
        <n v="87296"/>
        <n v="82571"/>
        <n v="79591"/>
        <n v="87614"/>
        <n v="82893"/>
        <n v="70038"/>
        <n v="75392"/>
        <n v="77359"/>
        <n v="92250"/>
        <n v="91199"/>
        <n v="99063"/>
        <n v="95710"/>
        <n v="77799"/>
        <n v="73352"/>
        <n v="95441"/>
        <n v="96339"/>
        <n v="96160"/>
        <n v="82797"/>
        <n v="94284"/>
        <n v="98858"/>
        <n v="91449"/>
        <n v="99091"/>
        <n v="99647"/>
        <n v="93530"/>
        <n v="76706"/>
        <n v="70291"/>
        <n v="93520"/>
        <n v="88487"/>
        <n v="92407"/>
        <n v="88990"/>
      </sharedItems>
    </cacheField>
  </cacheFields>
  <extLst>
    <ext xmlns:x14="http://schemas.microsoft.com/office/spreadsheetml/2009/9/main" uri="{725AE2AE-9491-48be-B2B4-4EB974FC3084}">
      <x14:pivotCacheDefinition pivotCacheId="488401117"/>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Veronicah Nanjala" refreshedDate="44566.443309953705" createdVersion="7" refreshedVersion="7" minRefreshableVersion="3" recordCount="166" xr:uid="{AFE98766-354B-4D4A-89A2-7808B2972DAB}">
  <cacheSource type="worksheet">
    <worksheetSource ref="A3:I169" sheet="TransDB"/>
  </cacheSource>
  <cacheFields count="9">
    <cacheField name="Trans Id" numFmtId="0">
      <sharedItems containsSemiMixedTypes="0" containsString="0" containsNumber="1" containsInteger="1" minValue="1" maxValue="166"/>
    </cacheField>
    <cacheField name="Prop Name" numFmtId="0">
      <sharedItems count="9">
        <s v="Sam"/>
        <s v="Jennifer"/>
        <s v="Matt"/>
        <s v="JM "/>
        <s v="George"/>
        <s v="Maria "/>
        <s v="Wangas"/>
        <s v="MariAnn"/>
        <s v="Ann"/>
      </sharedItems>
    </cacheField>
    <cacheField name="Trans Name" numFmtId="0">
      <sharedItems count="4">
        <s v="Water"/>
        <s v="Power"/>
        <s v="Rent"/>
        <s v="Levy"/>
      </sharedItems>
    </cacheField>
    <cacheField name="Unit#" numFmtId="0">
      <sharedItems count="26">
        <s v="M"/>
        <s v="X"/>
        <s v="W"/>
        <s v="H"/>
        <s v="U"/>
        <s v="N"/>
        <s v="L"/>
        <s v="D"/>
        <s v="Q"/>
        <s v="P"/>
        <s v="R"/>
        <s v="B"/>
        <s v="Z"/>
        <s v="T"/>
        <s v="I"/>
        <s v="F"/>
        <s v="O"/>
        <s v="C"/>
        <s v="S"/>
        <s v="Y"/>
        <s v="V"/>
        <s v="K"/>
        <s v="A"/>
        <s v="J"/>
        <s v="E"/>
        <s v="G"/>
      </sharedItems>
    </cacheField>
    <cacheField name="Date" numFmtId="165">
      <sharedItems containsSemiMixedTypes="0" containsNonDate="0" containsDate="1" containsString="0" minDate="2020-01-03T00:00:00" maxDate="2021-01-01T00:00:00"/>
    </cacheField>
    <cacheField name="Details" numFmtId="0">
      <sharedItems/>
    </cacheField>
    <cacheField name="Paid by:" numFmtId="0">
      <sharedItems/>
    </cacheField>
    <cacheField name="Type" numFmtId="0">
      <sharedItems/>
    </cacheField>
    <cacheField name="Amount " numFmtId="167">
      <sharedItems containsSemiMixedTypes="0" containsString="0" containsNumber="1" containsInteger="1" minValue="70038" maxValue="99755"/>
    </cacheField>
  </cacheFields>
  <extLst>
    <ext xmlns:x14="http://schemas.microsoft.com/office/spreadsheetml/2009/9/main" uri="{725AE2AE-9491-48be-B2B4-4EB974FC3084}">
      <x14:pivotCacheDefinition pivotCacheId="306929777"/>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Veronicah Nanjala" refreshedDate="44566.499985879629" createdVersion="7" refreshedVersion="7" minRefreshableVersion="3" recordCount="166" xr:uid="{D893828A-58C4-4C62-90BE-1D9F905DDE10}">
  <cacheSource type="worksheet">
    <worksheetSource ref="A3:I169" sheet="TransDB"/>
  </cacheSource>
  <cacheFields count="12">
    <cacheField name="Trans Id" numFmtId="0">
      <sharedItems containsSemiMixedTypes="0" containsString="0" containsNumber="1" containsInteger="1" minValue="1" maxValue="166"/>
    </cacheField>
    <cacheField name="Prop Name" numFmtId="0">
      <sharedItems count="9">
        <s v="Sam"/>
        <s v="Maria "/>
        <s v="Matt"/>
        <s v="Wangas"/>
        <s v="Jennifer"/>
        <s v="Ann"/>
        <s v="George"/>
        <s v="JM "/>
        <s v="MariAnn"/>
      </sharedItems>
    </cacheField>
    <cacheField name="Trans Name" numFmtId="0">
      <sharedItems/>
    </cacheField>
    <cacheField name="Unit#" numFmtId="0">
      <sharedItems/>
    </cacheField>
    <cacheField name="Date" numFmtId="165">
      <sharedItems containsSemiMixedTypes="0" containsNonDate="0" containsDate="1" containsString="0" minDate="2020-01-04T00:00:00" maxDate="2020-12-31T00:00:00" count="129">
        <d v="2020-10-23T00:00:00"/>
        <d v="2020-10-27T00:00:00"/>
        <d v="2020-04-05T00:00:00"/>
        <d v="2020-12-24T00:00:00"/>
        <d v="2020-08-01T00:00:00"/>
        <d v="2020-12-27T00:00:00"/>
        <d v="2020-05-31T00:00:00"/>
        <d v="2020-09-12T00:00:00"/>
        <d v="2020-03-16T00:00:00"/>
        <d v="2020-01-07T00:00:00"/>
        <d v="2020-11-04T00:00:00"/>
        <d v="2020-01-10T00:00:00"/>
        <d v="2020-12-25T00:00:00"/>
        <d v="2020-11-21T00:00:00"/>
        <d v="2020-05-28T00:00:00"/>
        <d v="2020-11-25T00:00:00"/>
        <d v="2020-07-09T00:00:00"/>
        <d v="2020-09-29T00:00:00"/>
        <d v="2020-07-07T00:00:00"/>
        <d v="2020-01-12T00:00:00"/>
        <d v="2020-10-16T00:00:00"/>
        <d v="2020-09-22T00:00:00"/>
        <d v="2020-09-26T00:00:00"/>
        <d v="2020-06-02T00:00:00"/>
        <d v="2020-08-10T00:00:00"/>
        <d v="2020-08-07T00:00:00"/>
        <d v="2020-04-12T00:00:00"/>
        <d v="2020-09-17T00:00:00"/>
        <d v="2020-06-06T00:00:00"/>
        <d v="2020-03-03T00:00:00"/>
        <d v="2020-12-19T00:00:00"/>
        <d v="2020-11-19T00:00:00"/>
        <d v="2020-01-30T00:00:00"/>
        <d v="2020-06-24T00:00:00"/>
        <d v="2020-07-12T00:00:00"/>
        <d v="2020-03-02T00:00:00"/>
        <d v="2020-03-08T00:00:00"/>
        <d v="2020-05-26T00:00:00"/>
        <d v="2020-03-06T00:00:00"/>
        <d v="2020-09-09T00:00:00"/>
        <d v="2020-07-04T00:00:00"/>
        <d v="2020-12-03T00:00:00"/>
        <d v="2020-05-24T00:00:00"/>
        <d v="2020-05-02T00:00:00"/>
        <d v="2020-10-05T00:00:00"/>
        <d v="2020-09-02T00:00:00"/>
        <d v="2020-07-24T00:00:00"/>
        <d v="2020-06-01T00:00:00"/>
        <d v="2020-07-01T00:00:00"/>
        <d v="2020-04-10T00:00:00"/>
        <d v="2020-02-20T00:00:00"/>
        <d v="2020-08-23T00:00:00"/>
        <d v="2020-03-10T00:00:00"/>
        <d v="2020-02-06T00:00:00"/>
        <d v="2020-12-11T00:00:00"/>
        <d v="2020-02-25T00:00:00"/>
        <d v="2020-12-22T00:00:00"/>
        <d v="2020-09-11T00:00:00"/>
        <d v="2020-02-14T00:00:00"/>
        <d v="2020-03-27T00:00:00"/>
        <d v="2020-11-29T00:00:00"/>
        <d v="2020-10-22T00:00:00"/>
        <d v="2020-12-07T00:00:00"/>
        <d v="2020-03-09T00:00:00"/>
        <d v="2020-01-29T00:00:00"/>
        <d v="2020-12-30T00:00:00"/>
        <d v="2020-09-23T00:00:00"/>
        <d v="2020-06-13T00:00:00"/>
        <d v="2020-05-07T00:00:00"/>
        <d v="2020-06-26T00:00:00"/>
        <d v="2020-07-16T00:00:00"/>
        <d v="2020-07-25T00:00:00"/>
        <d v="2020-06-10T00:00:00"/>
        <d v="2020-06-25T00:00:00"/>
        <d v="2020-10-07T00:00:00"/>
        <d v="2020-08-22T00:00:00"/>
        <d v="2020-04-07T00:00:00"/>
        <d v="2020-08-05T00:00:00"/>
        <d v="2020-02-27T00:00:00"/>
        <d v="2020-06-18T00:00:00"/>
        <d v="2020-12-05T00:00:00"/>
        <d v="2020-01-28T00:00:00"/>
        <d v="2020-01-31T00:00:00"/>
        <d v="2020-02-12T00:00:00"/>
        <d v="2020-05-03T00:00:00"/>
        <d v="2020-12-04T00:00:00"/>
        <d v="2020-05-13T00:00:00"/>
        <d v="2020-07-19T00:00:00"/>
        <d v="2020-04-02T00:00:00"/>
        <d v="2020-05-08T00:00:00"/>
        <d v="2020-06-17T00:00:00"/>
        <d v="2020-09-06T00:00:00"/>
        <d v="2020-09-30T00:00:00"/>
        <d v="2020-11-12T00:00:00"/>
        <d v="2020-04-25T00:00:00"/>
        <d v="2020-04-17T00:00:00"/>
        <d v="2020-12-29T00:00:00"/>
        <d v="2020-05-01T00:00:00"/>
        <d v="2020-08-08T00:00:00"/>
        <d v="2020-11-13T00:00:00"/>
        <d v="2020-08-29T00:00:00"/>
        <d v="2020-06-28T00:00:00"/>
        <d v="2020-07-14T00:00:00"/>
        <d v="2020-01-09T00:00:00"/>
        <d v="2020-11-14T00:00:00"/>
        <d v="2020-09-13T00:00:00"/>
        <d v="2020-10-06T00:00:00"/>
        <d v="2020-03-31T00:00:00"/>
        <d v="2020-04-21T00:00:00"/>
        <d v="2020-07-30T00:00:00"/>
        <d v="2020-02-04T00:00:00"/>
        <d v="2020-05-14T00:00:00"/>
        <d v="2020-05-17T00:00:00"/>
        <d v="2020-02-02T00:00:00"/>
        <d v="2020-04-18T00:00:00"/>
        <d v="2020-06-11T00:00:00"/>
        <d v="2020-10-26T00:00:00"/>
        <d v="2020-08-02T00:00:00"/>
        <d v="2020-07-22T00:00:00"/>
        <d v="2020-07-26T00:00:00"/>
        <d v="2020-01-04T00:00:00"/>
        <d v="2020-07-23T00:00:00"/>
        <d v="2020-01-19T00:00:00"/>
        <d v="2020-10-24T00:00:00"/>
        <d v="2020-07-15T00:00:00"/>
        <d v="2020-08-31T00:00:00"/>
        <d v="2020-01-23T00:00:00"/>
        <d v="2020-10-02T00:00:00"/>
        <d v="2020-03-05T00:00:00"/>
      </sharedItems>
      <fieldGroup par="9" base="4">
        <rangePr groupBy="days" startDate="2020-01-04T00:00:00" endDate="2020-12-31T00:00:00"/>
        <groupItems count="368">
          <s v="&lt;1/4/2020"/>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12/31/2020"/>
        </groupItems>
      </fieldGroup>
    </cacheField>
    <cacheField name="Details" numFmtId="0">
      <sharedItems/>
    </cacheField>
    <cacheField name="Paid by:" numFmtId="0">
      <sharedItems/>
    </cacheField>
    <cacheField name="Type" numFmtId="0">
      <sharedItems count="2">
        <s v="Expence"/>
        <s v="Income"/>
      </sharedItems>
    </cacheField>
    <cacheField name="Amount " numFmtId="167">
      <sharedItems containsSemiMixedTypes="0" containsString="0" containsNumber="1" containsInteger="1" minValue="70016" maxValue="99958"/>
    </cacheField>
    <cacheField name="Months" numFmtId="0" databaseField="0">
      <fieldGroup base="4">
        <rangePr groupBy="months" startDate="2020-01-04T00:00:00" endDate="2020-12-31T00:00:00"/>
        <groupItems count="14">
          <s v="&lt;1/4/2020"/>
          <s v="Jan"/>
          <s v="Feb"/>
          <s v="Mar"/>
          <s v="Apr"/>
          <s v="May"/>
          <s v="Jun"/>
          <s v="Jul"/>
          <s v="Aug"/>
          <s v="Sep"/>
          <s v="Oct"/>
          <s v="Nov"/>
          <s v="Dec"/>
          <s v="&gt;12/31/2020"/>
        </groupItems>
      </fieldGroup>
    </cacheField>
    <cacheField name="Profit" numFmtId="0" formula="'Amount '-'Amount '" databaseField="0"/>
    <cacheField name="Field1" numFmtId="0" formula="Type-'Amount '" databaseField="0"/>
  </cacheFields>
  <extLst>
    <ext xmlns:x14="http://schemas.microsoft.com/office/spreadsheetml/2009/9/main" uri="{725AE2AE-9491-48be-B2B4-4EB974FC3084}">
      <x14:pivotCacheDefinition pivotCacheId="2032559115"/>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Veronicah Nanjala" refreshedDate="44566.500083217594" createdVersion="7" refreshedVersion="7" minRefreshableVersion="3" recordCount="75" xr:uid="{FBD2C885-EECC-419B-AA4B-165E31569215}">
  <cacheSource type="worksheet">
    <worksheetSource ref="A3:K78" sheet="PropDB"/>
  </cacheSource>
  <cacheFields count="11">
    <cacheField name="Prop ID" numFmtId="0">
      <sharedItems containsSemiMixedTypes="0" containsString="0" containsNumber="1" containsInteger="1" minValue="2" maxValue="76"/>
    </cacheField>
    <cacheField name="Name" numFmtId="0">
      <sharedItems/>
    </cacheField>
    <cacheField name="Type" numFmtId="0">
      <sharedItems count="5">
        <s v="Industrial"/>
        <s v="Residential"/>
        <s v="Special-Use"/>
        <s v="Commercial"/>
        <s v="Raw-Land"/>
      </sharedItems>
    </cacheField>
    <cacheField name="Start Date" numFmtId="165">
      <sharedItems containsSemiMixedTypes="0" containsNonDate="0" containsDate="1" containsString="0" minDate="2020-01-06T00:00:00" maxDate="2021-12-03T00:00:00"/>
    </cacheField>
    <cacheField name="Address" numFmtId="0">
      <sharedItems count="4">
        <s v="Nairobi"/>
        <s v="Kisumu"/>
        <s v="Eldoret"/>
        <s v="Mombasa"/>
      </sharedItems>
    </cacheField>
    <cacheField name="Owner" numFmtId="0">
      <sharedItems/>
    </cacheField>
    <cacheField name="Owner Phone" numFmtId="164">
      <sharedItems containsSemiMixedTypes="0" containsString="0" containsNumber="1" containsInteger="1" minValue="229207023010" maxValue="8983242482178"/>
    </cacheField>
    <cacheField name="owner email" numFmtId="0">
      <sharedItems/>
    </cacheField>
    <cacheField name="Manager" numFmtId="0">
      <sharedItems/>
    </cacheField>
    <cacheField name="Mgr phone" numFmtId="164">
      <sharedItems containsSemiMixedTypes="0" containsString="0" containsNumber="1" containsInteger="1" minValue="224193790792" maxValue="8909676723584"/>
    </cacheField>
    <cacheField name="Mgr Email" numFmtId="0">
      <sharedItems/>
    </cacheField>
  </cacheFields>
  <extLst>
    <ext xmlns:x14="http://schemas.microsoft.com/office/spreadsheetml/2009/9/main" uri="{725AE2AE-9491-48be-B2B4-4EB974FC3084}">
      <x14:pivotCacheDefinition pivotCacheId="91696209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66">
  <r>
    <n v="1"/>
    <x v="0"/>
    <x v="0"/>
    <s v="M"/>
    <x v="0"/>
    <s v="Piad"/>
    <s v="Vero"/>
    <x v="0"/>
    <x v="0"/>
  </r>
  <r>
    <n v="2"/>
    <x v="1"/>
    <x v="1"/>
    <s v="X"/>
    <x v="1"/>
    <s v="Piad"/>
    <s v="Mercy"/>
    <x v="1"/>
    <x v="1"/>
  </r>
  <r>
    <n v="3"/>
    <x v="2"/>
    <x v="2"/>
    <s v="W"/>
    <x v="2"/>
    <s v="Piad"/>
    <s v="Nancy"/>
    <x v="0"/>
    <x v="2"/>
  </r>
  <r>
    <n v="4"/>
    <x v="1"/>
    <x v="3"/>
    <s v="H"/>
    <x v="3"/>
    <s v="Piad"/>
    <s v="Peter"/>
    <x v="1"/>
    <x v="3"/>
  </r>
  <r>
    <n v="5"/>
    <x v="3"/>
    <x v="0"/>
    <s v="U"/>
    <x v="4"/>
    <s v="Piad"/>
    <s v="Njeri"/>
    <x v="0"/>
    <x v="4"/>
  </r>
  <r>
    <n v="6"/>
    <x v="0"/>
    <x v="1"/>
    <s v="N"/>
    <x v="5"/>
    <s v="Piad"/>
    <s v="Peninah"/>
    <x v="1"/>
    <x v="5"/>
  </r>
  <r>
    <n v="7"/>
    <x v="4"/>
    <x v="2"/>
    <s v="L"/>
    <x v="6"/>
    <s v="Piad"/>
    <s v="Vero"/>
    <x v="0"/>
    <x v="6"/>
  </r>
  <r>
    <n v="8"/>
    <x v="4"/>
    <x v="3"/>
    <s v="L"/>
    <x v="7"/>
    <s v="Piad"/>
    <s v="Mercy"/>
    <x v="1"/>
    <x v="7"/>
  </r>
  <r>
    <n v="9"/>
    <x v="5"/>
    <x v="0"/>
    <s v="D"/>
    <x v="8"/>
    <s v="Piad"/>
    <s v="Nancy"/>
    <x v="0"/>
    <x v="8"/>
  </r>
  <r>
    <n v="10"/>
    <x v="6"/>
    <x v="1"/>
    <s v="Q"/>
    <x v="9"/>
    <s v="Piad"/>
    <s v="Peter"/>
    <x v="1"/>
    <x v="9"/>
  </r>
  <r>
    <n v="11"/>
    <x v="1"/>
    <x v="2"/>
    <s v="P"/>
    <x v="10"/>
    <s v="Piad"/>
    <s v="Njeri"/>
    <x v="0"/>
    <x v="10"/>
  </r>
  <r>
    <n v="12"/>
    <x v="6"/>
    <x v="3"/>
    <s v="R"/>
    <x v="11"/>
    <s v="Piad"/>
    <s v="Peninah"/>
    <x v="1"/>
    <x v="11"/>
  </r>
  <r>
    <n v="13"/>
    <x v="4"/>
    <x v="0"/>
    <s v="U"/>
    <x v="12"/>
    <s v="Piad"/>
    <s v="Vero"/>
    <x v="0"/>
    <x v="12"/>
  </r>
  <r>
    <n v="14"/>
    <x v="6"/>
    <x v="1"/>
    <s v="H"/>
    <x v="13"/>
    <s v="Piad"/>
    <s v="Mercy"/>
    <x v="1"/>
    <x v="13"/>
  </r>
  <r>
    <n v="15"/>
    <x v="6"/>
    <x v="2"/>
    <s v="B"/>
    <x v="14"/>
    <s v="Piad"/>
    <s v="Nancy"/>
    <x v="0"/>
    <x v="14"/>
  </r>
  <r>
    <n v="16"/>
    <x v="1"/>
    <x v="3"/>
    <s v="Z"/>
    <x v="15"/>
    <s v="Piad"/>
    <s v="Peter"/>
    <x v="1"/>
    <x v="15"/>
  </r>
  <r>
    <n v="17"/>
    <x v="1"/>
    <x v="0"/>
    <s v="T"/>
    <x v="16"/>
    <s v="Piad"/>
    <s v="Njeri"/>
    <x v="0"/>
    <x v="16"/>
  </r>
  <r>
    <n v="18"/>
    <x v="6"/>
    <x v="1"/>
    <s v="I"/>
    <x v="17"/>
    <s v="Piad"/>
    <s v="Peninah"/>
    <x v="1"/>
    <x v="17"/>
  </r>
  <r>
    <n v="19"/>
    <x v="1"/>
    <x v="2"/>
    <s v="X"/>
    <x v="18"/>
    <s v="Piad"/>
    <s v="Vero"/>
    <x v="0"/>
    <x v="18"/>
  </r>
  <r>
    <n v="20"/>
    <x v="5"/>
    <x v="3"/>
    <s v="F"/>
    <x v="19"/>
    <s v="Piad"/>
    <s v="Mercy"/>
    <x v="1"/>
    <x v="19"/>
  </r>
  <r>
    <n v="21"/>
    <x v="0"/>
    <x v="0"/>
    <s v="O"/>
    <x v="20"/>
    <s v="Piad"/>
    <s v="Nancy"/>
    <x v="0"/>
    <x v="20"/>
  </r>
  <r>
    <n v="22"/>
    <x v="1"/>
    <x v="1"/>
    <s v="C"/>
    <x v="21"/>
    <s v="Piad"/>
    <s v="Peter"/>
    <x v="1"/>
    <x v="21"/>
  </r>
  <r>
    <n v="23"/>
    <x v="1"/>
    <x v="2"/>
    <s v="I"/>
    <x v="22"/>
    <s v="Piad"/>
    <s v="Njeri"/>
    <x v="0"/>
    <x v="22"/>
  </r>
  <r>
    <n v="24"/>
    <x v="2"/>
    <x v="3"/>
    <s v="H"/>
    <x v="23"/>
    <s v="Piad"/>
    <s v="Peninah"/>
    <x v="1"/>
    <x v="23"/>
  </r>
  <r>
    <n v="25"/>
    <x v="4"/>
    <x v="0"/>
    <s v="I"/>
    <x v="24"/>
    <s v="Piad"/>
    <s v="Vero"/>
    <x v="0"/>
    <x v="24"/>
  </r>
  <r>
    <n v="26"/>
    <x v="3"/>
    <x v="1"/>
    <s v="S"/>
    <x v="25"/>
    <s v="Piad"/>
    <s v="Mercy"/>
    <x v="1"/>
    <x v="25"/>
  </r>
  <r>
    <n v="27"/>
    <x v="2"/>
    <x v="2"/>
    <s v="U"/>
    <x v="26"/>
    <s v="Piad"/>
    <s v="Nancy"/>
    <x v="0"/>
    <x v="26"/>
  </r>
  <r>
    <n v="28"/>
    <x v="2"/>
    <x v="3"/>
    <s v="Y"/>
    <x v="27"/>
    <s v="Piad"/>
    <s v="Peter"/>
    <x v="1"/>
    <x v="27"/>
  </r>
  <r>
    <n v="29"/>
    <x v="5"/>
    <x v="0"/>
    <s v="F"/>
    <x v="28"/>
    <s v="Piad"/>
    <s v="Njeri"/>
    <x v="0"/>
    <x v="28"/>
  </r>
  <r>
    <n v="30"/>
    <x v="5"/>
    <x v="1"/>
    <s v="V"/>
    <x v="29"/>
    <s v="Piad"/>
    <s v="Peninah"/>
    <x v="1"/>
    <x v="29"/>
  </r>
  <r>
    <n v="31"/>
    <x v="6"/>
    <x v="2"/>
    <s v="C"/>
    <x v="30"/>
    <s v="Piad"/>
    <s v="Vero"/>
    <x v="0"/>
    <x v="30"/>
  </r>
  <r>
    <n v="32"/>
    <x v="6"/>
    <x v="3"/>
    <s v="N"/>
    <x v="31"/>
    <s v="Piad"/>
    <s v="Mercy"/>
    <x v="1"/>
    <x v="31"/>
  </r>
  <r>
    <n v="33"/>
    <x v="0"/>
    <x v="0"/>
    <s v="C"/>
    <x v="32"/>
    <s v="Piad"/>
    <s v="Nancy"/>
    <x v="0"/>
    <x v="32"/>
  </r>
  <r>
    <n v="34"/>
    <x v="3"/>
    <x v="1"/>
    <s v="K"/>
    <x v="33"/>
    <s v="Piad"/>
    <s v="Peter"/>
    <x v="1"/>
    <x v="33"/>
  </r>
  <r>
    <n v="35"/>
    <x v="0"/>
    <x v="2"/>
    <s v="S"/>
    <x v="34"/>
    <s v="Piad"/>
    <s v="Njeri"/>
    <x v="0"/>
    <x v="34"/>
  </r>
  <r>
    <n v="36"/>
    <x v="5"/>
    <x v="3"/>
    <s v="W"/>
    <x v="18"/>
    <s v="Piad"/>
    <s v="Peninah"/>
    <x v="1"/>
    <x v="35"/>
  </r>
  <r>
    <n v="37"/>
    <x v="7"/>
    <x v="0"/>
    <s v="B"/>
    <x v="35"/>
    <s v="Piad"/>
    <s v="Vero"/>
    <x v="0"/>
    <x v="36"/>
  </r>
  <r>
    <n v="38"/>
    <x v="2"/>
    <x v="1"/>
    <s v="O"/>
    <x v="36"/>
    <s v="Piad"/>
    <s v="Mercy"/>
    <x v="1"/>
    <x v="37"/>
  </r>
  <r>
    <n v="39"/>
    <x v="1"/>
    <x v="2"/>
    <s v="D"/>
    <x v="37"/>
    <s v="Piad"/>
    <s v="Nancy"/>
    <x v="0"/>
    <x v="38"/>
  </r>
  <r>
    <n v="40"/>
    <x v="6"/>
    <x v="3"/>
    <s v="Z"/>
    <x v="38"/>
    <s v="Piad"/>
    <s v="Peter"/>
    <x v="1"/>
    <x v="39"/>
  </r>
  <r>
    <n v="41"/>
    <x v="4"/>
    <x v="0"/>
    <s v="C"/>
    <x v="39"/>
    <s v="Piad"/>
    <s v="Njeri"/>
    <x v="0"/>
    <x v="40"/>
  </r>
  <r>
    <n v="42"/>
    <x v="5"/>
    <x v="1"/>
    <s v="P"/>
    <x v="40"/>
    <s v="Piad"/>
    <s v="Peninah"/>
    <x v="1"/>
    <x v="41"/>
  </r>
  <r>
    <n v="43"/>
    <x v="6"/>
    <x v="2"/>
    <s v="F"/>
    <x v="41"/>
    <s v="Piad"/>
    <s v="Vero"/>
    <x v="0"/>
    <x v="42"/>
  </r>
  <r>
    <n v="44"/>
    <x v="8"/>
    <x v="3"/>
    <s v="Y"/>
    <x v="32"/>
    <s v="Piad"/>
    <s v="Mercy"/>
    <x v="1"/>
    <x v="43"/>
  </r>
  <r>
    <n v="45"/>
    <x v="2"/>
    <x v="0"/>
    <s v="M"/>
    <x v="42"/>
    <s v="Piad"/>
    <s v="Nancy"/>
    <x v="0"/>
    <x v="44"/>
  </r>
  <r>
    <n v="46"/>
    <x v="3"/>
    <x v="1"/>
    <s v="A"/>
    <x v="37"/>
    <s v="Piad"/>
    <s v="Peter"/>
    <x v="1"/>
    <x v="45"/>
  </r>
  <r>
    <n v="47"/>
    <x v="5"/>
    <x v="2"/>
    <s v="A"/>
    <x v="43"/>
    <s v="Piad"/>
    <s v="Njeri"/>
    <x v="0"/>
    <x v="46"/>
  </r>
  <r>
    <n v="48"/>
    <x v="8"/>
    <x v="3"/>
    <s v="X"/>
    <x v="44"/>
    <s v="Piad"/>
    <s v="Peninah"/>
    <x v="1"/>
    <x v="47"/>
  </r>
  <r>
    <n v="49"/>
    <x v="6"/>
    <x v="0"/>
    <s v="A"/>
    <x v="45"/>
    <s v="Piad"/>
    <s v="Vero"/>
    <x v="0"/>
    <x v="48"/>
  </r>
  <r>
    <n v="50"/>
    <x v="1"/>
    <x v="1"/>
    <s v="A"/>
    <x v="46"/>
    <s v="Piad"/>
    <s v="Mercy"/>
    <x v="1"/>
    <x v="49"/>
  </r>
  <r>
    <n v="51"/>
    <x v="5"/>
    <x v="2"/>
    <s v="L"/>
    <x v="47"/>
    <s v="Piad"/>
    <s v="Nancy"/>
    <x v="0"/>
    <x v="50"/>
  </r>
  <r>
    <n v="52"/>
    <x v="3"/>
    <x v="3"/>
    <s v="Q"/>
    <x v="48"/>
    <s v="Piad"/>
    <s v="Peter"/>
    <x v="1"/>
    <x v="51"/>
  </r>
  <r>
    <n v="53"/>
    <x v="6"/>
    <x v="0"/>
    <s v="N"/>
    <x v="49"/>
    <s v="Piad"/>
    <s v="Njeri"/>
    <x v="0"/>
    <x v="52"/>
  </r>
  <r>
    <n v="54"/>
    <x v="6"/>
    <x v="1"/>
    <s v="I"/>
    <x v="50"/>
    <s v="Piad"/>
    <s v="Peninah"/>
    <x v="1"/>
    <x v="53"/>
  </r>
  <r>
    <n v="55"/>
    <x v="3"/>
    <x v="2"/>
    <s v="N"/>
    <x v="51"/>
    <s v="Piad"/>
    <s v="Vero"/>
    <x v="0"/>
    <x v="54"/>
  </r>
  <r>
    <n v="56"/>
    <x v="5"/>
    <x v="3"/>
    <s v="S"/>
    <x v="52"/>
    <s v="Piad"/>
    <s v="Mercy"/>
    <x v="1"/>
    <x v="55"/>
  </r>
  <r>
    <n v="57"/>
    <x v="1"/>
    <x v="0"/>
    <s v="B"/>
    <x v="53"/>
    <s v="Piad"/>
    <s v="Nancy"/>
    <x v="0"/>
    <x v="56"/>
  </r>
  <r>
    <n v="58"/>
    <x v="0"/>
    <x v="1"/>
    <s v="W"/>
    <x v="54"/>
    <s v="Piad"/>
    <s v="Peter"/>
    <x v="1"/>
    <x v="57"/>
  </r>
  <r>
    <n v="59"/>
    <x v="5"/>
    <x v="2"/>
    <s v="Y"/>
    <x v="55"/>
    <s v="Piad"/>
    <s v="Njeri"/>
    <x v="0"/>
    <x v="58"/>
  </r>
  <r>
    <n v="60"/>
    <x v="1"/>
    <x v="3"/>
    <s v="L"/>
    <x v="56"/>
    <s v="Piad"/>
    <s v="Peninah"/>
    <x v="1"/>
    <x v="59"/>
  </r>
  <r>
    <n v="61"/>
    <x v="0"/>
    <x v="0"/>
    <s v="N"/>
    <x v="57"/>
    <s v="Piad"/>
    <s v="Vero"/>
    <x v="0"/>
    <x v="60"/>
  </r>
  <r>
    <n v="62"/>
    <x v="1"/>
    <x v="1"/>
    <s v="A"/>
    <x v="58"/>
    <s v="Piad"/>
    <s v="Mercy"/>
    <x v="1"/>
    <x v="61"/>
  </r>
  <r>
    <n v="63"/>
    <x v="6"/>
    <x v="2"/>
    <s v="C"/>
    <x v="59"/>
    <s v="Piad"/>
    <s v="Nancy"/>
    <x v="0"/>
    <x v="62"/>
  </r>
  <r>
    <n v="64"/>
    <x v="0"/>
    <x v="3"/>
    <s v="M"/>
    <x v="60"/>
    <s v="Piad"/>
    <s v="Peter"/>
    <x v="1"/>
    <x v="63"/>
  </r>
  <r>
    <n v="65"/>
    <x v="1"/>
    <x v="0"/>
    <s v="B"/>
    <x v="61"/>
    <s v="Piad"/>
    <s v="Njeri"/>
    <x v="0"/>
    <x v="64"/>
  </r>
  <r>
    <n v="66"/>
    <x v="5"/>
    <x v="1"/>
    <s v="A"/>
    <x v="62"/>
    <s v="Piad"/>
    <s v="Peninah"/>
    <x v="1"/>
    <x v="65"/>
  </r>
  <r>
    <n v="67"/>
    <x v="3"/>
    <x v="2"/>
    <s v="J"/>
    <x v="63"/>
    <s v="Piad"/>
    <s v="Vero"/>
    <x v="0"/>
    <x v="66"/>
  </r>
  <r>
    <n v="68"/>
    <x v="4"/>
    <x v="3"/>
    <s v="L"/>
    <x v="27"/>
    <s v="Piad"/>
    <s v="Mercy"/>
    <x v="1"/>
    <x v="67"/>
  </r>
  <r>
    <n v="69"/>
    <x v="5"/>
    <x v="0"/>
    <s v="L"/>
    <x v="64"/>
    <s v="Piad"/>
    <s v="Nancy"/>
    <x v="0"/>
    <x v="68"/>
  </r>
  <r>
    <n v="70"/>
    <x v="0"/>
    <x v="1"/>
    <s v="Y"/>
    <x v="65"/>
    <s v="Piad"/>
    <s v="Peter"/>
    <x v="1"/>
    <x v="69"/>
  </r>
  <r>
    <n v="71"/>
    <x v="6"/>
    <x v="2"/>
    <s v="I"/>
    <x v="66"/>
    <s v="Piad"/>
    <s v="Njeri"/>
    <x v="0"/>
    <x v="70"/>
  </r>
  <r>
    <n v="72"/>
    <x v="4"/>
    <x v="3"/>
    <s v="Z"/>
    <x v="67"/>
    <s v="Piad"/>
    <s v="Peninah"/>
    <x v="1"/>
    <x v="71"/>
  </r>
  <r>
    <n v="73"/>
    <x v="1"/>
    <x v="0"/>
    <s v="Z"/>
    <x v="59"/>
    <s v="Piad"/>
    <s v="Vero"/>
    <x v="0"/>
    <x v="72"/>
  </r>
  <r>
    <n v="74"/>
    <x v="6"/>
    <x v="1"/>
    <s v="K"/>
    <x v="57"/>
    <s v="Piad"/>
    <s v="Mercy"/>
    <x v="1"/>
    <x v="73"/>
  </r>
  <r>
    <n v="75"/>
    <x v="3"/>
    <x v="2"/>
    <s v="I"/>
    <x v="68"/>
    <s v="Piad"/>
    <s v="Nancy"/>
    <x v="0"/>
    <x v="74"/>
  </r>
  <r>
    <n v="76"/>
    <x v="6"/>
    <x v="3"/>
    <s v="O"/>
    <x v="69"/>
    <s v="Piad"/>
    <s v="Peter"/>
    <x v="1"/>
    <x v="75"/>
  </r>
  <r>
    <n v="77"/>
    <x v="5"/>
    <x v="0"/>
    <s v="F"/>
    <x v="70"/>
    <s v="Piad"/>
    <s v="Njeri"/>
    <x v="0"/>
    <x v="76"/>
  </r>
  <r>
    <n v="78"/>
    <x v="8"/>
    <x v="1"/>
    <s v="X"/>
    <x v="71"/>
    <s v="Piad"/>
    <s v="Peninah"/>
    <x v="1"/>
    <x v="77"/>
  </r>
  <r>
    <n v="79"/>
    <x v="4"/>
    <x v="2"/>
    <s v="E"/>
    <x v="72"/>
    <s v="Piad"/>
    <s v="Vero"/>
    <x v="0"/>
    <x v="78"/>
  </r>
  <r>
    <n v="80"/>
    <x v="3"/>
    <x v="3"/>
    <s v="S"/>
    <x v="73"/>
    <s v="Piad"/>
    <s v="Mercy"/>
    <x v="1"/>
    <x v="79"/>
  </r>
  <r>
    <n v="81"/>
    <x v="4"/>
    <x v="0"/>
    <s v="U"/>
    <x v="48"/>
    <s v="Piad"/>
    <s v="Nancy"/>
    <x v="0"/>
    <x v="80"/>
  </r>
  <r>
    <n v="82"/>
    <x v="5"/>
    <x v="1"/>
    <s v="R"/>
    <x v="74"/>
    <s v="Piad"/>
    <s v="Peter"/>
    <x v="1"/>
    <x v="81"/>
  </r>
  <r>
    <n v="83"/>
    <x v="5"/>
    <x v="2"/>
    <s v="H"/>
    <x v="75"/>
    <s v="Piad"/>
    <s v="Njeri"/>
    <x v="0"/>
    <x v="82"/>
  </r>
  <r>
    <n v="84"/>
    <x v="3"/>
    <x v="3"/>
    <s v="P"/>
    <x v="76"/>
    <s v="Piad"/>
    <s v="Peninah"/>
    <x v="1"/>
    <x v="83"/>
  </r>
  <r>
    <n v="85"/>
    <x v="6"/>
    <x v="0"/>
    <s v="U"/>
    <x v="49"/>
    <s v="Piad"/>
    <s v="Vero"/>
    <x v="0"/>
    <x v="84"/>
  </r>
  <r>
    <n v="86"/>
    <x v="6"/>
    <x v="1"/>
    <s v="J"/>
    <x v="77"/>
    <s v="Piad"/>
    <s v="Mercy"/>
    <x v="1"/>
    <x v="85"/>
  </r>
  <r>
    <n v="87"/>
    <x v="0"/>
    <x v="2"/>
    <s v="Y"/>
    <x v="78"/>
    <s v="Piad"/>
    <s v="Nancy"/>
    <x v="0"/>
    <x v="86"/>
  </r>
  <r>
    <n v="88"/>
    <x v="3"/>
    <x v="3"/>
    <s v="E"/>
    <x v="55"/>
    <s v="Piad"/>
    <s v="Peter"/>
    <x v="1"/>
    <x v="87"/>
  </r>
  <r>
    <n v="89"/>
    <x v="1"/>
    <x v="0"/>
    <s v="J"/>
    <x v="79"/>
    <s v="Piad"/>
    <s v="Njeri"/>
    <x v="0"/>
    <x v="88"/>
  </r>
  <r>
    <n v="90"/>
    <x v="3"/>
    <x v="1"/>
    <s v="E"/>
    <x v="80"/>
    <s v="Piad"/>
    <s v="Peninah"/>
    <x v="1"/>
    <x v="89"/>
  </r>
  <r>
    <n v="91"/>
    <x v="0"/>
    <x v="2"/>
    <s v="C"/>
    <x v="32"/>
    <s v="Piad"/>
    <s v="Vero"/>
    <x v="0"/>
    <x v="90"/>
  </r>
  <r>
    <n v="92"/>
    <x v="0"/>
    <x v="3"/>
    <s v="T"/>
    <x v="81"/>
    <s v="Piad"/>
    <s v="Mercy"/>
    <x v="1"/>
    <x v="91"/>
  </r>
  <r>
    <n v="93"/>
    <x v="1"/>
    <x v="0"/>
    <s v="C"/>
    <x v="82"/>
    <s v="Piad"/>
    <s v="Nancy"/>
    <x v="0"/>
    <x v="92"/>
  </r>
  <r>
    <n v="94"/>
    <x v="6"/>
    <x v="1"/>
    <s v="R"/>
    <x v="83"/>
    <s v="Piad"/>
    <s v="Peter"/>
    <x v="1"/>
    <x v="93"/>
  </r>
  <r>
    <n v="95"/>
    <x v="6"/>
    <x v="2"/>
    <s v="L"/>
    <x v="1"/>
    <s v="Piad"/>
    <s v="Njeri"/>
    <x v="0"/>
    <x v="94"/>
  </r>
  <r>
    <n v="96"/>
    <x v="3"/>
    <x v="3"/>
    <s v="O"/>
    <x v="84"/>
    <s v="Piad"/>
    <s v="Peninah"/>
    <x v="1"/>
    <x v="95"/>
  </r>
  <r>
    <n v="97"/>
    <x v="3"/>
    <x v="0"/>
    <s v="O"/>
    <x v="85"/>
    <s v="Piad"/>
    <s v="Vero"/>
    <x v="0"/>
    <x v="96"/>
  </r>
  <r>
    <n v="98"/>
    <x v="1"/>
    <x v="1"/>
    <s v="K"/>
    <x v="82"/>
    <s v="Piad"/>
    <s v="Mercy"/>
    <x v="1"/>
    <x v="97"/>
  </r>
  <r>
    <n v="99"/>
    <x v="5"/>
    <x v="2"/>
    <s v="I"/>
    <x v="86"/>
    <s v="Piad"/>
    <s v="Nancy"/>
    <x v="0"/>
    <x v="98"/>
  </r>
  <r>
    <n v="100"/>
    <x v="7"/>
    <x v="3"/>
    <s v="W"/>
    <x v="31"/>
    <s v="Piad"/>
    <s v="Peter"/>
    <x v="1"/>
    <x v="99"/>
  </r>
  <r>
    <n v="101"/>
    <x v="1"/>
    <x v="0"/>
    <s v="V"/>
    <x v="19"/>
    <s v="Piad"/>
    <s v="Njeri"/>
    <x v="0"/>
    <x v="100"/>
  </r>
  <r>
    <n v="102"/>
    <x v="3"/>
    <x v="1"/>
    <s v="M"/>
    <x v="87"/>
    <s v="Piad"/>
    <s v="Peninah"/>
    <x v="1"/>
    <x v="101"/>
  </r>
  <r>
    <n v="103"/>
    <x v="8"/>
    <x v="2"/>
    <s v="T"/>
    <x v="88"/>
    <s v="Piad"/>
    <s v="Vero"/>
    <x v="0"/>
    <x v="102"/>
  </r>
  <r>
    <n v="104"/>
    <x v="5"/>
    <x v="3"/>
    <s v="J"/>
    <x v="89"/>
    <s v="Piad"/>
    <s v="Mercy"/>
    <x v="1"/>
    <x v="103"/>
  </r>
  <r>
    <n v="105"/>
    <x v="6"/>
    <x v="0"/>
    <s v="Q"/>
    <x v="90"/>
    <s v="Piad"/>
    <s v="Nancy"/>
    <x v="0"/>
    <x v="104"/>
  </r>
  <r>
    <n v="106"/>
    <x v="5"/>
    <x v="1"/>
    <s v="D"/>
    <x v="91"/>
    <s v="Piad"/>
    <s v="Peter"/>
    <x v="1"/>
    <x v="105"/>
  </r>
  <r>
    <n v="107"/>
    <x v="1"/>
    <x v="2"/>
    <s v="E"/>
    <x v="92"/>
    <s v="Piad"/>
    <s v="Njeri"/>
    <x v="0"/>
    <x v="106"/>
  </r>
  <r>
    <n v="108"/>
    <x v="6"/>
    <x v="3"/>
    <s v="O"/>
    <x v="93"/>
    <s v="Piad"/>
    <s v="Peninah"/>
    <x v="1"/>
    <x v="107"/>
  </r>
  <r>
    <n v="109"/>
    <x v="6"/>
    <x v="0"/>
    <s v="T"/>
    <x v="94"/>
    <s v="Piad"/>
    <s v="Vero"/>
    <x v="0"/>
    <x v="108"/>
  </r>
  <r>
    <n v="110"/>
    <x v="0"/>
    <x v="1"/>
    <s v="E"/>
    <x v="95"/>
    <s v="Piad"/>
    <s v="Mercy"/>
    <x v="1"/>
    <x v="109"/>
  </r>
  <r>
    <n v="111"/>
    <x v="5"/>
    <x v="2"/>
    <s v="X"/>
    <x v="96"/>
    <s v="Piad"/>
    <s v="Nancy"/>
    <x v="0"/>
    <x v="110"/>
  </r>
  <r>
    <n v="112"/>
    <x v="8"/>
    <x v="3"/>
    <s v="E"/>
    <x v="97"/>
    <s v="Piad"/>
    <s v="Peter"/>
    <x v="1"/>
    <x v="111"/>
  </r>
  <r>
    <n v="113"/>
    <x v="3"/>
    <x v="0"/>
    <s v="I"/>
    <x v="98"/>
    <s v="Piad"/>
    <s v="Njeri"/>
    <x v="0"/>
    <x v="112"/>
  </r>
  <r>
    <n v="114"/>
    <x v="6"/>
    <x v="1"/>
    <s v="U"/>
    <x v="99"/>
    <s v="Piad"/>
    <s v="Peninah"/>
    <x v="1"/>
    <x v="113"/>
  </r>
  <r>
    <n v="115"/>
    <x v="1"/>
    <x v="2"/>
    <s v="S"/>
    <x v="100"/>
    <s v="Piad"/>
    <s v="Vero"/>
    <x v="0"/>
    <x v="114"/>
  </r>
  <r>
    <n v="116"/>
    <x v="3"/>
    <x v="3"/>
    <s v="U"/>
    <x v="101"/>
    <s v="Piad"/>
    <s v="Mercy"/>
    <x v="1"/>
    <x v="115"/>
  </r>
  <r>
    <n v="117"/>
    <x v="1"/>
    <x v="0"/>
    <s v="F"/>
    <x v="102"/>
    <s v="Piad"/>
    <s v="Nancy"/>
    <x v="0"/>
    <x v="116"/>
  </r>
  <r>
    <n v="118"/>
    <x v="6"/>
    <x v="1"/>
    <s v="H"/>
    <x v="103"/>
    <s v="Piad"/>
    <s v="Peter"/>
    <x v="1"/>
    <x v="117"/>
  </r>
  <r>
    <n v="119"/>
    <x v="1"/>
    <x v="2"/>
    <s v="R"/>
    <x v="104"/>
    <s v="Piad"/>
    <s v="Njeri"/>
    <x v="0"/>
    <x v="118"/>
  </r>
  <r>
    <n v="120"/>
    <x v="4"/>
    <x v="3"/>
    <s v="D"/>
    <x v="73"/>
    <s v="Piad"/>
    <s v="Peninah"/>
    <x v="1"/>
    <x v="119"/>
  </r>
  <r>
    <n v="121"/>
    <x v="6"/>
    <x v="0"/>
    <s v="W"/>
    <x v="105"/>
    <s v="Piad"/>
    <s v="Vero"/>
    <x v="0"/>
    <x v="120"/>
  </r>
  <r>
    <n v="122"/>
    <x v="3"/>
    <x v="1"/>
    <s v="A"/>
    <x v="106"/>
    <s v="Piad"/>
    <s v="Mercy"/>
    <x v="1"/>
    <x v="121"/>
  </r>
  <r>
    <n v="123"/>
    <x v="0"/>
    <x v="2"/>
    <s v="T"/>
    <x v="39"/>
    <s v="Piad"/>
    <s v="Nancy"/>
    <x v="0"/>
    <x v="122"/>
  </r>
  <r>
    <n v="124"/>
    <x v="5"/>
    <x v="3"/>
    <s v="E"/>
    <x v="107"/>
    <s v="Piad"/>
    <s v="Peter"/>
    <x v="1"/>
    <x v="123"/>
  </r>
  <r>
    <n v="125"/>
    <x v="5"/>
    <x v="0"/>
    <s v="G"/>
    <x v="69"/>
    <s v="Piad"/>
    <s v="Njeri"/>
    <x v="0"/>
    <x v="124"/>
  </r>
  <r>
    <n v="126"/>
    <x v="1"/>
    <x v="1"/>
    <s v="Z"/>
    <x v="108"/>
    <s v="Piad"/>
    <s v="Peninah"/>
    <x v="1"/>
    <x v="125"/>
  </r>
  <r>
    <n v="127"/>
    <x v="5"/>
    <x v="2"/>
    <s v="W"/>
    <x v="109"/>
    <s v="Piad"/>
    <s v="Vero"/>
    <x v="0"/>
    <x v="126"/>
  </r>
  <r>
    <n v="128"/>
    <x v="5"/>
    <x v="3"/>
    <s v="P"/>
    <x v="110"/>
    <s v="Piad"/>
    <s v="Mercy"/>
    <x v="1"/>
    <x v="127"/>
  </r>
  <r>
    <n v="129"/>
    <x v="0"/>
    <x v="0"/>
    <s v="A"/>
    <x v="111"/>
    <s v="Piad"/>
    <s v="Nancy"/>
    <x v="0"/>
    <x v="128"/>
  </r>
  <r>
    <n v="130"/>
    <x v="1"/>
    <x v="1"/>
    <s v="Z"/>
    <x v="112"/>
    <s v="Piad"/>
    <s v="Peter"/>
    <x v="1"/>
    <x v="129"/>
  </r>
  <r>
    <n v="131"/>
    <x v="3"/>
    <x v="2"/>
    <s v="D"/>
    <x v="46"/>
    <s v="Piad"/>
    <s v="Njeri"/>
    <x v="0"/>
    <x v="130"/>
  </r>
  <r>
    <n v="132"/>
    <x v="3"/>
    <x v="3"/>
    <s v="W"/>
    <x v="113"/>
    <s v="Piad"/>
    <s v="Peninah"/>
    <x v="1"/>
    <x v="131"/>
  </r>
  <r>
    <n v="133"/>
    <x v="4"/>
    <x v="0"/>
    <s v="K"/>
    <x v="13"/>
    <s v="Piad"/>
    <s v="Vero"/>
    <x v="0"/>
    <x v="132"/>
  </r>
  <r>
    <n v="134"/>
    <x v="3"/>
    <x v="1"/>
    <s v="J"/>
    <x v="114"/>
    <s v="Piad"/>
    <s v="Mercy"/>
    <x v="1"/>
    <x v="133"/>
  </r>
  <r>
    <n v="135"/>
    <x v="0"/>
    <x v="2"/>
    <s v="I"/>
    <x v="115"/>
    <s v="Piad"/>
    <s v="Nancy"/>
    <x v="0"/>
    <x v="134"/>
  </r>
  <r>
    <n v="136"/>
    <x v="6"/>
    <x v="3"/>
    <s v="G"/>
    <x v="59"/>
    <s v="Piad"/>
    <s v="Peter"/>
    <x v="1"/>
    <x v="135"/>
  </r>
  <r>
    <n v="137"/>
    <x v="1"/>
    <x v="0"/>
    <s v="R"/>
    <x v="116"/>
    <s v="Piad"/>
    <s v="Njeri"/>
    <x v="0"/>
    <x v="136"/>
  </r>
  <r>
    <n v="138"/>
    <x v="4"/>
    <x v="1"/>
    <s v="K"/>
    <x v="117"/>
    <s v="Piad"/>
    <s v="Peninah"/>
    <x v="1"/>
    <x v="137"/>
  </r>
  <r>
    <n v="139"/>
    <x v="0"/>
    <x v="2"/>
    <s v="N"/>
    <x v="118"/>
    <s v="Piad"/>
    <s v="Vero"/>
    <x v="0"/>
    <x v="138"/>
  </r>
  <r>
    <n v="140"/>
    <x v="6"/>
    <x v="3"/>
    <s v="R"/>
    <x v="17"/>
    <s v="Piad"/>
    <s v="Mercy"/>
    <x v="1"/>
    <x v="139"/>
  </r>
  <r>
    <n v="141"/>
    <x v="6"/>
    <x v="0"/>
    <s v="X"/>
    <x v="119"/>
    <s v="Piad"/>
    <s v="Nancy"/>
    <x v="0"/>
    <x v="140"/>
  </r>
  <r>
    <n v="142"/>
    <x v="4"/>
    <x v="1"/>
    <s v="S"/>
    <x v="13"/>
    <s v="Piad"/>
    <s v="Peter"/>
    <x v="1"/>
    <x v="141"/>
  </r>
  <r>
    <n v="143"/>
    <x v="5"/>
    <x v="2"/>
    <s v="Z"/>
    <x v="120"/>
    <s v="Piad"/>
    <s v="Njeri"/>
    <x v="0"/>
    <x v="142"/>
  </r>
  <r>
    <n v="144"/>
    <x v="6"/>
    <x v="3"/>
    <s v="U"/>
    <x v="121"/>
    <s v="Piad"/>
    <s v="Peninah"/>
    <x v="1"/>
    <x v="143"/>
  </r>
  <r>
    <n v="145"/>
    <x v="2"/>
    <x v="0"/>
    <s v="B"/>
    <x v="122"/>
    <s v="Piad"/>
    <s v="Vero"/>
    <x v="0"/>
    <x v="144"/>
  </r>
  <r>
    <n v="146"/>
    <x v="1"/>
    <x v="1"/>
    <s v="Y"/>
    <x v="106"/>
    <s v="Piad"/>
    <s v="Mercy"/>
    <x v="1"/>
    <x v="145"/>
  </r>
  <r>
    <n v="147"/>
    <x v="4"/>
    <x v="2"/>
    <s v="M"/>
    <x v="123"/>
    <s v="Piad"/>
    <s v="Nancy"/>
    <x v="0"/>
    <x v="146"/>
  </r>
  <r>
    <n v="148"/>
    <x v="4"/>
    <x v="3"/>
    <s v="J"/>
    <x v="124"/>
    <s v="Piad"/>
    <s v="Peter"/>
    <x v="1"/>
    <x v="147"/>
  </r>
  <r>
    <n v="149"/>
    <x v="1"/>
    <x v="0"/>
    <s v="U"/>
    <x v="104"/>
    <s v="Piad"/>
    <s v="Njeri"/>
    <x v="0"/>
    <x v="148"/>
  </r>
  <r>
    <n v="150"/>
    <x v="6"/>
    <x v="1"/>
    <s v="O"/>
    <x v="74"/>
    <s v="Piad"/>
    <s v="Peninah"/>
    <x v="1"/>
    <x v="149"/>
  </r>
  <r>
    <n v="151"/>
    <x v="1"/>
    <x v="2"/>
    <s v="Y"/>
    <x v="125"/>
    <s v="Piad"/>
    <s v="Vero"/>
    <x v="0"/>
    <x v="108"/>
  </r>
  <r>
    <n v="152"/>
    <x v="3"/>
    <x v="3"/>
    <s v="D"/>
    <x v="126"/>
    <s v="Piad"/>
    <s v="Mercy"/>
    <x v="1"/>
    <x v="150"/>
  </r>
  <r>
    <n v="153"/>
    <x v="0"/>
    <x v="0"/>
    <s v="Z"/>
    <x v="127"/>
    <s v="Piad"/>
    <s v="Nancy"/>
    <x v="0"/>
    <x v="151"/>
  </r>
  <r>
    <n v="154"/>
    <x v="3"/>
    <x v="1"/>
    <s v="J"/>
    <x v="61"/>
    <s v="Piad"/>
    <s v="Peter"/>
    <x v="1"/>
    <x v="152"/>
  </r>
  <r>
    <n v="155"/>
    <x v="5"/>
    <x v="2"/>
    <s v="D"/>
    <x v="128"/>
    <s v="Piad"/>
    <s v="Njeri"/>
    <x v="0"/>
    <x v="153"/>
  </r>
  <r>
    <n v="156"/>
    <x v="1"/>
    <x v="3"/>
    <s v="J"/>
    <x v="129"/>
    <s v="Piad"/>
    <s v="Peninah"/>
    <x v="1"/>
    <x v="154"/>
  </r>
  <r>
    <n v="157"/>
    <x v="3"/>
    <x v="0"/>
    <s v="E"/>
    <x v="57"/>
    <s v="Piad"/>
    <s v="Vero"/>
    <x v="0"/>
    <x v="155"/>
  </r>
  <r>
    <n v="158"/>
    <x v="6"/>
    <x v="1"/>
    <s v="N"/>
    <x v="130"/>
    <s v="Piad"/>
    <s v="Mercy"/>
    <x v="1"/>
    <x v="156"/>
  </r>
  <r>
    <n v="159"/>
    <x v="0"/>
    <x v="2"/>
    <s v="J"/>
    <x v="131"/>
    <s v="Piad"/>
    <s v="Nancy"/>
    <x v="0"/>
    <x v="157"/>
  </r>
  <r>
    <n v="160"/>
    <x v="3"/>
    <x v="3"/>
    <s v="F"/>
    <x v="132"/>
    <s v="Piad"/>
    <s v="Peter"/>
    <x v="1"/>
    <x v="158"/>
  </r>
  <r>
    <n v="161"/>
    <x v="6"/>
    <x v="0"/>
    <s v="S"/>
    <x v="14"/>
    <s v="Piad"/>
    <s v="Njeri"/>
    <x v="0"/>
    <x v="159"/>
  </r>
  <r>
    <n v="162"/>
    <x v="1"/>
    <x v="1"/>
    <s v="Y"/>
    <x v="29"/>
    <s v="Piad"/>
    <s v="Peninah"/>
    <x v="1"/>
    <x v="160"/>
  </r>
  <r>
    <n v="163"/>
    <x v="5"/>
    <x v="2"/>
    <s v="F"/>
    <x v="39"/>
    <s v="Piad"/>
    <s v="Vero"/>
    <x v="0"/>
    <x v="161"/>
  </r>
  <r>
    <n v="164"/>
    <x v="4"/>
    <x v="3"/>
    <s v="I"/>
    <x v="41"/>
    <s v="Piad"/>
    <s v="Mercy"/>
    <x v="1"/>
    <x v="162"/>
  </r>
  <r>
    <n v="165"/>
    <x v="1"/>
    <x v="0"/>
    <s v="S"/>
    <x v="133"/>
    <s v="Piad"/>
    <s v="Nancy"/>
    <x v="0"/>
    <x v="163"/>
  </r>
  <r>
    <n v="166"/>
    <x v="0"/>
    <x v="1"/>
    <s v="P"/>
    <x v="109"/>
    <s v="Piad"/>
    <s v="Peter"/>
    <x v="1"/>
    <x v="164"/>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66">
  <r>
    <n v="1"/>
    <x v="0"/>
    <x v="0"/>
    <x v="0"/>
    <d v="2020-02-14T00:00:00"/>
    <s v="Piad"/>
    <s v="Vero"/>
    <s v="Expence"/>
    <n v="72978"/>
  </r>
  <r>
    <n v="2"/>
    <x v="1"/>
    <x v="1"/>
    <x v="1"/>
    <d v="2020-08-15T00:00:00"/>
    <s v="Piad"/>
    <s v="Mercy"/>
    <s v="Income"/>
    <n v="99558"/>
  </r>
  <r>
    <n v="3"/>
    <x v="2"/>
    <x v="2"/>
    <x v="2"/>
    <d v="2020-08-12T00:00:00"/>
    <s v="Piad"/>
    <s v="Nancy"/>
    <s v="Expence"/>
    <n v="80498"/>
  </r>
  <r>
    <n v="4"/>
    <x v="1"/>
    <x v="3"/>
    <x v="3"/>
    <d v="2020-11-23T00:00:00"/>
    <s v="Piad"/>
    <s v="Peter"/>
    <s v="Income"/>
    <n v="76923"/>
  </r>
  <r>
    <n v="5"/>
    <x v="3"/>
    <x v="0"/>
    <x v="4"/>
    <d v="2020-08-01T00:00:00"/>
    <s v="Piad"/>
    <s v="Njeri"/>
    <s v="Expence"/>
    <n v="96334"/>
  </r>
  <r>
    <n v="6"/>
    <x v="0"/>
    <x v="1"/>
    <x v="5"/>
    <d v="2020-05-04T00:00:00"/>
    <s v="Piad"/>
    <s v="Peninah"/>
    <s v="Income"/>
    <n v="77911"/>
  </r>
  <r>
    <n v="7"/>
    <x v="4"/>
    <x v="2"/>
    <x v="6"/>
    <d v="2020-07-18T00:00:00"/>
    <s v="Piad"/>
    <s v="Vero"/>
    <s v="Expence"/>
    <n v="88574"/>
  </r>
  <r>
    <n v="8"/>
    <x v="4"/>
    <x v="3"/>
    <x v="6"/>
    <d v="2020-09-10T00:00:00"/>
    <s v="Piad"/>
    <s v="Mercy"/>
    <s v="Income"/>
    <n v="93015"/>
  </r>
  <r>
    <n v="9"/>
    <x v="5"/>
    <x v="0"/>
    <x v="7"/>
    <d v="2020-10-24T00:00:00"/>
    <s v="Piad"/>
    <s v="Nancy"/>
    <s v="Expence"/>
    <n v="95514"/>
  </r>
  <r>
    <n v="10"/>
    <x v="6"/>
    <x v="1"/>
    <x v="8"/>
    <d v="2020-08-22T00:00:00"/>
    <s v="Piad"/>
    <s v="Peter"/>
    <s v="Income"/>
    <n v="96911"/>
  </r>
  <r>
    <n v="11"/>
    <x v="1"/>
    <x v="2"/>
    <x v="9"/>
    <d v="2020-11-11T00:00:00"/>
    <s v="Piad"/>
    <s v="Njeri"/>
    <s v="Expence"/>
    <n v="74235"/>
  </r>
  <r>
    <n v="12"/>
    <x v="6"/>
    <x v="3"/>
    <x v="10"/>
    <d v="2020-10-02T00:00:00"/>
    <s v="Piad"/>
    <s v="Peninah"/>
    <s v="Income"/>
    <n v="88633"/>
  </r>
  <r>
    <n v="13"/>
    <x v="4"/>
    <x v="0"/>
    <x v="4"/>
    <d v="2020-12-08T00:00:00"/>
    <s v="Piad"/>
    <s v="Vero"/>
    <s v="Expence"/>
    <n v="85697"/>
  </r>
  <r>
    <n v="14"/>
    <x v="6"/>
    <x v="1"/>
    <x v="3"/>
    <d v="2020-08-29T00:00:00"/>
    <s v="Piad"/>
    <s v="Mercy"/>
    <s v="Income"/>
    <n v="80147"/>
  </r>
  <r>
    <n v="15"/>
    <x v="6"/>
    <x v="2"/>
    <x v="11"/>
    <d v="2020-09-28T00:00:00"/>
    <s v="Piad"/>
    <s v="Nancy"/>
    <s v="Expence"/>
    <n v="98403"/>
  </r>
  <r>
    <n v="16"/>
    <x v="1"/>
    <x v="3"/>
    <x v="12"/>
    <d v="2020-05-02T00:00:00"/>
    <s v="Piad"/>
    <s v="Peter"/>
    <s v="Income"/>
    <n v="80841"/>
  </r>
  <r>
    <n v="17"/>
    <x v="1"/>
    <x v="0"/>
    <x v="13"/>
    <d v="2020-10-27T00:00:00"/>
    <s v="Piad"/>
    <s v="Njeri"/>
    <s v="Expence"/>
    <n v="77398"/>
  </r>
  <r>
    <n v="18"/>
    <x v="6"/>
    <x v="1"/>
    <x v="14"/>
    <d v="2020-01-30T00:00:00"/>
    <s v="Piad"/>
    <s v="Peninah"/>
    <s v="Income"/>
    <n v="77060"/>
  </r>
  <r>
    <n v="19"/>
    <x v="1"/>
    <x v="2"/>
    <x v="1"/>
    <d v="2020-09-05T00:00:00"/>
    <s v="Piad"/>
    <s v="Vero"/>
    <s v="Expence"/>
    <n v="84365"/>
  </r>
  <r>
    <n v="20"/>
    <x v="5"/>
    <x v="3"/>
    <x v="15"/>
    <d v="2020-10-15T00:00:00"/>
    <s v="Piad"/>
    <s v="Mercy"/>
    <s v="Income"/>
    <n v="91864"/>
  </r>
  <r>
    <n v="21"/>
    <x v="0"/>
    <x v="0"/>
    <x v="16"/>
    <d v="2020-02-10T00:00:00"/>
    <s v="Piad"/>
    <s v="Nancy"/>
    <s v="Expence"/>
    <n v="72466"/>
  </r>
  <r>
    <n v="22"/>
    <x v="1"/>
    <x v="1"/>
    <x v="17"/>
    <d v="2020-09-08T00:00:00"/>
    <s v="Piad"/>
    <s v="Peter"/>
    <s v="Income"/>
    <n v="98635"/>
  </r>
  <r>
    <n v="23"/>
    <x v="1"/>
    <x v="2"/>
    <x v="14"/>
    <d v="2020-05-10T00:00:00"/>
    <s v="Piad"/>
    <s v="Njeri"/>
    <s v="Expence"/>
    <n v="72439"/>
  </r>
  <r>
    <n v="24"/>
    <x v="2"/>
    <x v="3"/>
    <x v="3"/>
    <d v="2020-09-03T00:00:00"/>
    <s v="Piad"/>
    <s v="Peninah"/>
    <s v="Income"/>
    <n v="79137"/>
  </r>
  <r>
    <n v="25"/>
    <x v="4"/>
    <x v="0"/>
    <x v="14"/>
    <d v="2020-09-06T00:00:00"/>
    <s v="Piad"/>
    <s v="Vero"/>
    <s v="Expence"/>
    <n v="81658"/>
  </r>
  <r>
    <n v="26"/>
    <x v="3"/>
    <x v="1"/>
    <x v="18"/>
    <d v="2020-03-15T00:00:00"/>
    <s v="Piad"/>
    <s v="Mercy"/>
    <s v="Income"/>
    <n v="97011"/>
  </r>
  <r>
    <n v="27"/>
    <x v="2"/>
    <x v="2"/>
    <x v="4"/>
    <d v="2020-09-27T00:00:00"/>
    <s v="Piad"/>
    <s v="Nancy"/>
    <s v="Expence"/>
    <n v="91506"/>
  </r>
  <r>
    <n v="28"/>
    <x v="2"/>
    <x v="3"/>
    <x v="19"/>
    <d v="2020-04-25T00:00:00"/>
    <s v="Piad"/>
    <s v="Peter"/>
    <s v="Income"/>
    <n v="88205"/>
  </r>
  <r>
    <n v="29"/>
    <x v="5"/>
    <x v="0"/>
    <x v="15"/>
    <d v="2020-06-11T00:00:00"/>
    <s v="Piad"/>
    <s v="Njeri"/>
    <s v="Expence"/>
    <n v="98466"/>
  </r>
  <r>
    <n v="30"/>
    <x v="5"/>
    <x v="1"/>
    <x v="20"/>
    <d v="2020-12-18T00:00:00"/>
    <s v="Piad"/>
    <s v="Peninah"/>
    <s v="Income"/>
    <n v="70541"/>
  </r>
  <r>
    <n v="31"/>
    <x v="6"/>
    <x v="2"/>
    <x v="17"/>
    <d v="2020-03-09T00:00:00"/>
    <s v="Piad"/>
    <s v="Vero"/>
    <s v="Expence"/>
    <n v="71024"/>
  </r>
  <r>
    <n v="32"/>
    <x v="6"/>
    <x v="3"/>
    <x v="5"/>
    <d v="2020-09-19T00:00:00"/>
    <s v="Piad"/>
    <s v="Mercy"/>
    <s v="Income"/>
    <n v="81097"/>
  </r>
  <r>
    <n v="33"/>
    <x v="0"/>
    <x v="0"/>
    <x v="17"/>
    <d v="2020-09-23T00:00:00"/>
    <s v="Piad"/>
    <s v="Nancy"/>
    <s v="Expence"/>
    <n v="71023"/>
  </r>
  <r>
    <n v="34"/>
    <x v="3"/>
    <x v="1"/>
    <x v="21"/>
    <d v="2020-08-19T00:00:00"/>
    <s v="Piad"/>
    <s v="Peter"/>
    <s v="Income"/>
    <n v="88013"/>
  </r>
  <r>
    <n v="35"/>
    <x v="0"/>
    <x v="2"/>
    <x v="18"/>
    <d v="2020-02-02T00:00:00"/>
    <s v="Piad"/>
    <s v="Njeri"/>
    <s v="Expence"/>
    <n v="78896"/>
  </r>
  <r>
    <n v="36"/>
    <x v="5"/>
    <x v="3"/>
    <x v="2"/>
    <d v="2020-09-05T00:00:00"/>
    <s v="Piad"/>
    <s v="Peninah"/>
    <s v="Income"/>
    <n v="97814"/>
  </r>
  <r>
    <n v="37"/>
    <x v="7"/>
    <x v="0"/>
    <x v="11"/>
    <d v="2020-07-21T00:00:00"/>
    <s v="Piad"/>
    <s v="Vero"/>
    <s v="Expence"/>
    <n v="90883"/>
  </r>
  <r>
    <n v="38"/>
    <x v="2"/>
    <x v="1"/>
    <x v="16"/>
    <d v="2020-09-17T00:00:00"/>
    <s v="Piad"/>
    <s v="Mercy"/>
    <s v="Income"/>
    <n v="95920"/>
  </r>
  <r>
    <n v="39"/>
    <x v="1"/>
    <x v="2"/>
    <x v="7"/>
    <d v="2020-12-19T00:00:00"/>
    <s v="Piad"/>
    <s v="Nancy"/>
    <s v="Expence"/>
    <n v="88170"/>
  </r>
  <r>
    <n v="40"/>
    <x v="6"/>
    <x v="3"/>
    <x v="12"/>
    <d v="2020-10-28T00:00:00"/>
    <s v="Piad"/>
    <s v="Peter"/>
    <s v="Income"/>
    <n v="74181"/>
  </r>
  <r>
    <n v="41"/>
    <x v="4"/>
    <x v="0"/>
    <x v="17"/>
    <d v="2020-09-30T00:00:00"/>
    <s v="Piad"/>
    <s v="Njeri"/>
    <s v="Expence"/>
    <n v="76665"/>
  </r>
  <r>
    <n v="42"/>
    <x v="5"/>
    <x v="1"/>
    <x v="9"/>
    <d v="2020-11-13T00:00:00"/>
    <s v="Piad"/>
    <s v="Peninah"/>
    <s v="Income"/>
    <n v="84452"/>
  </r>
  <r>
    <n v="43"/>
    <x v="6"/>
    <x v="2"/>
    <x v="15"/>
    <d v="2020-06-24T00:00:00"/>
    <s v="Piad"/>
    <s v="Vero"/>
    <s v="Expence"/>
    <n v="89977"/>
  </r>
  <r>
    <n v="44"/>
    <x v="8"/>
    <x v="3"/>
    <x v="19"/>
    <d v="2020-09-23T00:00:00"/>
    <s v="Piad"/>
    <s v="Mercy"/>
    <s v="Income"/>
    <n v="90004"/>
  </r>
  <r>
    <n v="45"/>
    <x v="2"/>
    <x v="0"/>
    <x v="0"/>
    <d v="2020-05-13T00:00:00"/>
    <s v="Piad"/>
    <s v="Nancy"/>
    <s v="Expence"/>
    <n v="78338"/>
  </r>
  <r>
    <n v="46"/>
    <x v="3"/>
    <x v="1"/>
    <x v="22"/>
    <d v="2020-12-19T00:00:00"/>
    <s v="Piad"/>
    <s v="Peter"/>
    <s v="Income"/>
    <n v="77250"/>
  </r>
  <r>
    <n v="47"/>
    <x v="5"/>
    <x v="2"/>
    <x v="22"/>
    <d v="2020-11-12T00:00:00"/>
    <s v="Piad"/>
    <s v="Njeri"/>
    <s v="Expence"/>
    <n v="86362"/>
  </r>
  <r>
    <n v="48"/>
    <x v="8"/>
    <x v="3"/>
    <x v="1"/>
    <d v="2020-12-11T00:00:00"/>
    <s v="Piad"/>
    <s v="Peninah"/>
    <s v="Income"/>
    <n v="82600"/>
  </r>
  <r>
    <n v="49"/>
    <x v="6"/>
    <x v="0"/>
    <x v="22"/>
    <d v="2020-06-20T00:00:00"/>
    <s v="Piad"/>
    <s v="Vero"/>
    <s v="Expence"/>
    <n v="85597"/>
  </r>
  <r>
    <n v="50"/>
    <x v="1"/>
    <x v="1"/>
    <x v="22"/>
    <d v="2020-06-09T00:00:00"/>
    <s v="Piad"/>
    <s v="Mercy"/>
    <s v="Income"/>
    <n v="94574"/>
  </r>
  <r>
    <n v="51"/>
    <x v="5"/>
    <x v="2"/>
    <x v="6"/>
    <d v="2020-01-17T00:00:00"/>
    <s v="Piad"/>
    <s v="Nancy"/>
    <s v="Expence"/>
    <n v="76301"/>
  </r>
  <r>
    <n v="52"/>
    <x v="3"/>
    <x v="3"/>
    <x v="8"/>
    <d v="2020-03-16T00:00:00"/>
    <s v="Piad"/>
    <s v="Peter"/>
    <s v="Income"/>
    <n v="77004"/>
  </r>
  <r>
    <n v="53"/>
    <x v="6"/>
    <x v="0"/>
    <x v="5"/>
    <d v="2020-06-05T00:00:00"/>
    <s v="Piad"/>
    <s v="Njeri"/>
    <s v="Expence"/>
    <n v="84031"/>
  </r>
  <r>
    <n v="54"/>
    <x v="6"/>
    <x v="1"/>
    <x v="14"/>
    <d v="2020-08-14T00:00:00"/>
    <s v="Piad"/>
    <s v="Peninah"/>
    <s v="Income"/>
    <n v="86842"/>
  </r>
  <r>
    <n v="55"/>
    <x v="3"/>
    <x v="2"/>
    <x v="5"/>
    <d v="2020-08-03T00:00:00"/>
    <s v="Piad"/>
    <s v="Vero"/>
    <s v="Expence"/>
    <n v="81504"/>
  </r>
  <r>
    <n v="56"/>
    <x v="5"/>
    <x v="3"/>
    <x v="18"/>
    <d v="2020-06-23T00:00:00"/>
    <s v="Piad"/>
    <s v="Mercy"/>
    <s v="Income"/>
    <n v="93812"/>
  </r>
  <r>
    <n v="57"/>
    <x v="1"/>
    <x v="0"/>
    <x v="11"/>
    <d v="2020-05-11T00:00:00"/>
    <s v="Piad"/>
    <s v="Nancy"/>
    <s v="Expence"/>
    <n v="97725"/>
  </r>
  <r>
    <n v="58"/>
    <x v="0"/>
    <x v="1"/>
    <x v="2"/>
    <d v="2020-10-04T00:00:00"/>
    <s v="Piad"/>
    <s v="Peter"/>
    <s v="Income"/>
    <n v="85955"/>
  </r>
  <r>
    <n v="59"/>
    <x v="5"/>
    <x v="2"/>
    <x v="19"/>
    <d v="2020-05-09T00:00:00"/>
    <s v="Piad"/>
    <s v="Njeri"/>
    <s v="Expence"/>
    <n v="81781"/>
  </r>
  <r>
    <n v="60"/>
    <x v="1"/>
    <x v="3"/>
    <x v="6"/>
    <d v="2020-11-28T00:00:00"/>
    <s v="Piad"/>
    <s v="Peninah"/>
    <s v="Income"/>
    <n v="78604"/>
  </r>
  <r>
    <n v="61"/>
    <x v="0"/>
    <x v="0"/>
    <x v="5"/>
    <d v="2020-10-01T00:00:00"/>
    <s v="Piad"/>
    <s v="Vero"/>
    <s v="Expence"/>
    <n v="89415"/>
  </r>
  <r>
    <n v="62"/>
    <x v="1"/>
    <x v="1"/>
    <x v="22"/>
    <d v="2020-01-26T00:00:00"/>
    <s v="Piad"/>
    <s v="Mercy"/>
    <s v="Income"/>
    <n v="75066"/>
  </r>
  <r>
    <n v="63"/>
    <x v="6"/>
    <x v="2"/>
    <x v="17"/>
    <d v="2020-04-23T00:00:00"/>
    <s v="Piad"/>
    <s v="Nancy"/>
    <s v="Expence"/>
    <n v="80104"/>
  </r>
  <r>
    <n v="64"/>
    <x v="0"/>
    <x v="3"/>
    <x v="0"/>
    <d v="2020-10-17T00:00:00"/>
    <s v="Piad"/>
    <s v="Peter"/>
    <s v="Income"/>
    <n v="72757"/>
  </r>
  <r>
    <n v="65"/>
    <x v="1"/>
    <x v="0"/>
    <x v="11"/>
    <d v="2020-10-23T00:00:00"/>
    <s v="Piad"/>
    <s v="Njeri"/>
    <s v="Expence"/>
    <n v="77001"/>
  </r>
  <r>
    <n v="66"/>
    <x v="5"/>
    <x v="1"/>
    <x v="22"/>
    <d v="2020-10-13T00:00:00"/>
    <s v="Piad"/>
    <s v="Peninah"/>
    <s v="Income"/>
    <n v="96467"/>
  </r>
  <r>
    <n v="67"/>
    <x v="3"/>
    <x v="2"/>
    <x v="23"/>
    <d v="2020-05-14T00:00:00"/>
    <s v="Piad"/>
    <s v="Vero"/>
    <s v="Expence"/>
    <n v="80120"/>
  </r>
  <r>
    <n v="68"/>
    <x v="4"/>
    <x v="3"/>
    <x v="6"/>
    <d v="2020-04-25T00:00:00"/>
    <s v="Piad"/>
    <s v="Mercy"/>
    <s v="Income"/>
    <n v="73920"/>
  </r>
  <r>
    <n v="69"/>
    <x v="5"/>
    <x v="0"/>
    <x v="6"/>
    <d v="2020-03-27T00:00:00"/>
    <s v="Piad"/>
    <s v="Nancy"/>
    <s v="Expence"/>
    <n v="92054"/>
  </r>
  <r>
    <n v="70"/>
    <x v="0"/>
    <x v="1"/>
    <x v="19"/>
    <d v="2020-09-22T00:00:00"/>
    <s v="Piad"/>
    <s v="Peter"/>
    <s v="Income"/>
    <n v="80594"/>
  </r>
  <r>
    <n v="71"/>
    <x v="6"/>
    <x v="2"/>
    <x v="14"/>
    <d v="2020-11-15T00:00:00"/>
    <s v="Piad"/>
    <s v="Njeri"/>
    <s v="Expence"/>
    <n v="85113"/>
  </r>
  <r>
    <n v="72"/>
    <x v="4"/>
    <x v="3"/>
    <x v="12"/>
    <d v="2020-12-15T00:00:00"/>
    <s v="Piad"/>
    <s v="Peninah"/>
    <s v="Income"/>
    <n v="73011"/>
  </r>
  <r>
    <n v="73"/>
    <x v="1"/>
    <x v="0"/>
    <x v="12"/>
    <d v="2020-04-23T00:00:00"/>
    <s v="Piad"/>
    <s v="Vero"/>
    <s v="Expence"/>
    <n v="88465"/>
  </r>
  <r>
    <n v="74"/>
    <x v="6"/>
    <x v="1"/>
    <x v="21"/>
    <d v="2020-10-01T00:00:00"/>
    <s v="Piad"/>
    <s v="Mercy"/>
    <s v="Income"/>
    <n v="90685"/>
  </r>
  <r>
    <n v="75"/>
    <x v="3"/>
    <x v="2"/>
    <x v="14"/>
    <d v="2020-06-30T00:00:00"/>
    <s v="Piad"/>
    <s v="Nancy"/>
    <s v="Expence"/>
    <n v="91953"/>
  </r>
  <r>
    <n v="76"/>
    <x v="6"/>
    <x v="3"/>
    <x v="16"/>
    <d v="2020-07-28T00:00:00"/>
    <s v="Piad"/>
    <s v="Peter"/>
    <s v="Income"/>
    <n v="92330"/>
  </r>
  <r>
    <n v="77"/>
    <x v="5"/>
    <x v="0"/>
    <x v="15"/>
    <d v="2020-05-30T00:00:00"/>
    <s v="Piad"/>
    <s v="Njeri"/>
    <s v="Expence"/>
    <n v="80317"/>
  </r>
  <r>
    <n v="78"/>
    <x v="8"/>
    <x v="1"/>
    <x v="1"/>
    <d v="2020-03-14T00:00:00"/>
    <s v="Piad"/>
    <s v="Peninah"/>
    <s v="Income"/>
    <n v="90797"/>
  </r>
  <r>
    <n v="79"/>
    <x v="4"/>
    <x v="2"/>
    <x v="24"/>
    <d v="2020-05-21T00:00:00"/>
    <s v="Piad"/>
    <s v="Vero"/>
    <s v="Expence"/>
    <n v="85222"/>
  </r>
  <r>
    <n v="80"/>
    <x v="3"/>
    <x v="3"/>
    <x v="18"/>
    <d v="2020-03-04T00:00:00"/>
    <s v="Piad"/>
    <s v="Mercy"/>
    <s v="Income"/>
    <n v="77236"/>
  </r>
  <r>
    <n v="81"/>
    <x v="4"/>
    <x v="0"/>
    <x v="4"/>
    <d v="2020-03-16T00:00:00"/>
    <s v="Piad"/>
    <s v="Nancy"/>
    <s v="Expence"/>
    <n v="70821"/>
  </r>
  <r>
    <n v="82"/>
    <x v="5"/>
    <x v="1"/>
    <x v="10"/>
    <d v="2020-09-02T00:00:00"/>
    <s v="Piad"/>
    <s v="Peter"/>
    <s v="Income"/>
    <n v="93722"/>
  </r>
  <r>
    <n v="83"/>
    <x v="5"/>
    <x v="2"/>
    <x v="3"/>
    <d v="2020-05-19T00:00:00"/>
    <s v="Piad"/>
    <s v="Njeri"/>
    <s v="Expence"/>
    <n v="71895"/>
  </r>
  <r>
    <n v="84"/>
    <x v="3"/>
    <x v="3"/>
    <x v="9"/>
    <d v="2020-04-10T00:00:00"/>
    <s v="Piad"/>
    <s v="Peninah"/>
    <s v="Income"/>
    <n v="97252"/>
  </r>
  <r>
    <n v="85"/>
    <x v="6"/>
    <x v="0"/>
    <x v="4"/>
    <d v="2020-06-05T00:00:00"/>
    <s v="Piad"/>
    <s v="Vero"/>
    <s v="Expence"/>
    <n v="72575"/>
  </r>
  <r>
    <n v="86"/>
    <x v="6"/>
    <x v="1"/>
    <x v="23"/>
    <d v="2020-11-14T00:00:00"/>
    <s v="Piad"/>
    <s v="Mercy"/>
    <s v="Income"/>
    <n v="95406"/>
  </r>
  <r>
    <n v="87"/>
    <x v="0"/>
    <x v="2"/>
    <x v="19"/>
    <d v="2020-11-24T00:00:00"/>
    <s v="Piad"/>
    <s v="Nancy"/>
    <s v="Expence"/>
    <n v="76971"/>
  </r>
  <r>
    <n v="88"/>
    <x v="3"/>
    <x v="3"/>
    <x v="24"/>
    <d v="2020-05-09T00:00:00"/>
    <s v="Piad"/>
    <s v="Peter"/>
    <s v="Income"/>
    <n v="99755"/>
  </r>
  <r>
    <n v="89"/>
    <x v="1"/>
    <x v="0"/>
    <x v="23"/>
    <d v="2020-04-29T00:00:00"/>
    <s v="Piad"/>
    <s v="Njeri"/>
    <s v="Expence"/>
    <n v="97217"/>
  </r>
  <r>
    <n v="90"/>
    <x v="3"/>
    <x v="1"/>
    <x v="24"/>
    <d v="2020-01-19T00:00:00"/>
    <s v="Piad"/>
    <s v="Peninah"/>
    <s v="Income"/>
    <n v="97726"/>
  </r>
  <r>
    <n v="91"/>
    <x v="0"/>
    <x v="2"/>
    <x v="17"/>
    <d v="2020-09-23T00:00:00"/>
    <s v="Piad"/>
    <s v="Vero"/>
    <s v="Expence"/>
    <n v="93687"/>
  </r>
  <r>
    <n v="92"/>
    <x v="0"/>
    <x v="3"/>
    <x v="13"/>
    <d v="2020-03-08T00:00:00"/>
    <s v="Piad"/>
    <s v="Mercy"/>
    <s v="Income"/>
    <n v="79581"/>
  </r>
  <r>
    <n v="93"/>
    <x v="1"/>
    <x v="0"/>
    <x v="17"/>
    <d v="2020-03-03T00:00:00"/>
    <s v="Piad"/>
    <s v="Nancy"/>
    <s v="Expence"/>
    <n v="97281"/>
  </r>
  <r>
    <n v="94"/>
    <x v="6"/>
    <x v="1"/>
    <x v="10"/>
    <d v="2020-02-21T00:00:00"/>
    <s v="Piad"/>
    <s v="Peter"/>
    <s v="Income"/>
    <n v="82865"/>
  </r>
  <r>
    <n v="95"/>
    <x v="6"/>
    <x v="2"/>
    <x v="6"/>
    <d v="2020-08-15T00:00:00"/>
    <s v="Piad"/>
    <s v="Njeri"/>
    <s v="Expence"/>
    <n v="89568"/>
  </r>
  <r>
    <n v="96"/>
    <x v="3"/>
    <x v="3"/>
    <x v="16"/>
    <d v="2020-05-24T00:00:00"/>
    <s v="Piad"/>
    <s v="Peninah"/>
    <s v="Income"/>
    <n v="99161"/>
  </r>
  <r>
    <n v="97"/>
    <x v="3"/>
    <x v="0"/>
    <x v="16"/>
    <d v="2020-12-20T00:00:00"/>
    <s v="Piad"/>
    <s v="Vero"/>
    <s v="Expence"/>
    <n v="95150"/>
  </r>
  <r>
    <n v="98"/>
    <x v="1"/>
    <x v="1"/>
    <x v="21"/>
    <d v="2020-03-03T00:00:00"/>
    <s v="Piad"/>
    <s v="Mercy"/>
    <s v="Income"/>
    <n v="80785"/>
  </r>
  <r>
    <n v="99"/>
    <x v="5"/>
    <x v="2"/>
    <x v="14"/>
    <d v="2020-12-31T00:00:00"/>
    <s v="Piad"/>
    <s v="Nancy"/>
    <s v="Expence"/>
    <n v="81391"/>
  </r>
  <r>
    <n v="100"/>
    <x v="7"/>
    <x v="3"/>
    <x v="2"/>
    <d v="2020-09-19T00:00:00"/>
    <s v="Piad"/>
    <s v="Peter"/>
    <s v="Income"/>
    <n v="88774"/>
  </r>
  <r>
    <n v="101"/>
    <x v="1"/>
    <x v="0"/>
    <x v="20"/>
    <d v="2020-10-15T00:00:00"/>
    <s v="Piad"/>
    <s v="Njeri"/>
    <s v="Expence"/>
    <n v="94111"/>
  </r>
  <r>
    <n v="102"/>
    <x v="3"/>
    <x v="1"/>
    <x v="0"/>
    <d v="2020-08-28T00:00:00"/>
    <s v="Piad"/>
    <s v="Peninah"/>
    <s v="Income"/>
    <n v="89677"/>
  </r>
  <r>
    <n v="103"/>
    <x v="8"/>
    <x v="2"/>
    <x v="13"/>
    <d v="2020-01-15T00:00:00"/>
    <s v="Piad"/>
    <s v="Vero"/>
    <s v="Expence"/>
    <n v="83013"/>
  </r>
  <r>
    <n v="104"/>
    <x v="5"/>
    <x v="3"/>
    <x v="23"/>
    <d v="2020-11-01T00:00:00"/>
    <s v="Piad"/>
    <s v="Mercy"/>
    <s v="Income"/>
    <n v="78180"/>
  </r>
  <r>
    <n v="105"/>
    <x v="6"/>
    <x v="0"/>
    <x v="8"/>
    <d v="2020-11-08T00:00:00"/>
    <s v="Piad"/>
    <s v="Nancy"/>
    <s v="Expence"/>
    <n v="89301"/>
  </r>
  <r>
    <n v="106"/>
    <x v="5"/>
    <x v="1"/>
    <x v="7"/>
    <d v="2020-04-21T00:00:00"/>
    <s v="Piad"/>
    <s v="Peter"/>
    <s v="Income"/>
    <n v="92696"/>
  </r>
  <r>
    <n v="107"/>
    <x v="1"/>
    <x v="2"/>
    <x v="24"/>
    <d v="2020-06-06T00:00:00"/>
    <s v="Piad"/>
    <s v="Njeri"/>
    <s v="Expence"/>
    <n v="90020"/>
  </r>
  <r>
    <n v="108"/>
    <x v="6"/>
    <x v="3"/>
    <x v="16"/>
    <d v="2020-09-26T00:00:00"/>
    <s v="Piad"/>
    <s v="Peninah"/>
    <s v="Income"/>
    <n v="93698"/>
  </r>
  <r>
    <n v="109"/>
    <x v="6"/>
    <x v="0"/>
    <x v="13"/>
    <d v="2020-09-07T00:00:00"/>
    <s v="Piad"/>
    <s v="Vero"/>
    <s v="Expence"/>
    <n v="82621"/>
  </r>
  <r>
    <n v="110"/>
    <x v="0"/>
    <x v="1"/>
    <x v="24"/>
    <d v="2020-12-06T00:00:00"/>
    <s v="Piad"/>
    <s v="Mercy"/>
    <s v="Income"/>
    <n v="80930"/>
  </r>
  <r>
    <n v="111"/>
    <x v="5"/>
    <x v="2"/>
    <x v="1"/>
    <d v="2020-01-11T00:00:00"/>
    <s v="Piad"/>
    <s v="Nancy"/>
    <s v="Expence"/>
    <n v="98442"/>
  </r>
  <r>
    <n v="112"/>
    <x v="8"/>
    <x v="3"/>
    <x v="24"/>
    <d v="2020-02-06T00:00:00"/>
    <s v="Piad"/>
    <s v="Peter"/>
    <s v="Income"/>
    <n v="87836"/>
  </r>
  <r>
    <n v="113"/>
    <x v="3"/>
    <x v="0"/>
    <x v="14"/>
    <d v="2020-08-08T00:00:00"/>
    <s v="Piad"/>
    <s v="Njeri"/>
    <s v="Expence"/>
    <n v="76690"/>
  </r>
  <r>
    <n v="114"/>
    <x v="6"/>
    <x v="1"/>
    <x v="4"/>
    <d v="2020-03-06T00:00:00"/>
    <s v="Piad"/>
    <s v="Peninah"/>
    <s v="Income"/>
    <n v="73395"/>
  </r>
  <r>
    <n v="115"/>
    <x v="1"/>
    <x v="2"/>
    <x v="18"/>
    <d v="2020-01-18T00:00:00"/>
    <s v="Piad"/>
    <s v="Vero"/>
    <s v="Expence"/>
    <n v="77235"/>
  </r>
  <r>
    <n v="116"/>
    <x v="3"/>
    <x v="3"/>
    <x v="4"/>
    <d v="2020-11-10T00:00:00"/>
    <s v="Piad"/>
    <s v="Mercy"/>
    <s v="Income"/>
    <n v="91640"/>
  </r>
  <r>
    <n v="117"/>
    <x v="1"/>
    <x v="0"/>
    <x v="15"/>
    <d v="2020-07-06T00:00:00"/>
    <s v="Piad"/>
    <s v="Nancy"/>
    <s v="Expence"/>
    <n v="91507"/>
  </r>
  <r>
    <n v="118"/>
    <x v="6"/>
    <x v="1"/>
    <x v="3"/>
    <d v="2020-04-19T00:00:00"/>
    <s v="Piad"/>
    <s v="Peter"/>
    <s v="Income"/>
    <n v="97506"/>
  </r>
  <r>
    <n v="119"/>
    <x v="1"/>
    <x v="2"/>
    <x v="10"/>
    <d v="2020-01-21T00:00:00"/>
    <s v="Piad"/>
    <s v="Njeri"/>
    <s v="Expence"/>
    <n v="79947"/>
  </r>
  <r>
    <n v="120"/>
    <x v="4"/>
    <x v="3"/>
    <x v="7"/>
    <d v="2020-03-04T00:00:00"/>
    <s v="Piad"/>
    <s v="Peninah"/>
    <s v="Income"/>
    <n v="84302"/>
  </r>
  <r>
    <n v="121"/>
    <x v="6"/>
    <x v="0"/>
    <x v="2"/>
    <d v="2020-08-31T00:00:00"/>
    <s v="Piad"/>
    <s v="Vero"/>
    <s v="Expence"/>
    <n v="71905"/>
  </r>
  <r>
    <n v="122"/>
    <x v="3"/>
    <x v="1"/>
    <x v="22"/>
    <d v="2020-04-04T00:00:00"/>
    <s v="Piad"/>
    <s v="Mercy"/>
    <s v="Income"/>
    <n v="79044"/>
  </r>
  <r>
    <n v="123"/>
    <x v="0"/>
    <x v="2"/>
    <x v="13"/>
    <d v="2020-09-30T00:00:00"/>
    <s v="Piad"/>
    <s v="Nancy"/>
    <s v="Expence"/>
    <n v="81443"/>
  </r>
  <r>
    <n v="124"/>
    <x v="5"/>
    <x v="3"/>
    <x v="24"/>
    <d v="2020-12-17T00:00:00"/>
    <s v="Piad"/>
    <s v="Peter"/>
    <s v="Income"/>
    <n v="83703"/>
  </r>
  <r>
    <n v="125"/>
    <x v="5"/>
    <x v="0"/>
    <x v="25"/>
    <d v="2020-07-28T00:00:00"/>
    <s v="Piad"/>
    <s v="Njeri"/>
    <s v="Expence"/>
    <n v="86602"/>
  </r>
  <r>
    <n v="126"/>
    <x v="1"/>
    <x v="1"/>
    <x v="12"/>
    <d v="2020-12-21T00:00:00"/>
    <s v="Piad"/>
    <s v="Peninah"/>
    <s v="Income"/>
    <n v="88011"/>
  </r>
  <r>
    <n v="127"/>
    <x v="5"/>
    <x v="2"/>
    <x v="2"/>
    <d v="2020-07-17T00:00:00"/>
    <s v="Piad"/>
    <s v="Vero"/>
    <s v="Expence"/>
    <n v="83320"/>
  </r>
  <r>
    <n v="128"/>
    <x v="5"/>
    <x v="3"/>
    <x v="9"/>
    <d v="2020-11-18T00:00:00"/>
    <s v="Piad"/>
    <s v="Mercy"/>
    <s v="Income"/>
    <n v="83372"/>
  </r>
  <r>
    <n v="129"/>
    <x v="0"/>
    <x v="0"/>
    <x v="22"/>
    <d v="2020-06-18T00:00:00"/>
    <s v="Piad"/>
    <s v="Nancy"/>
    <s v="Expence"/>
    <n v="98142"/>
  </r>
  <r>
    <n v="130"/>
    <x v="1"/>
    <x v="1"/>
    <x v="12"/>
    <d v="2020-04-28T00:00:00"/>
    <s v="Piad"/>
    <s v="Peter"/>
    <s v="Income"/>
    <n v="94457"/>
  </r>
  <r>
    <n v="131"/>
    <x v="3"/>
    <x v="2"/>
    <x v="7"/>
    <d v="2020-06-09T00:00:00"/>
    <s v="Piad"/>
    <s v="Njeri"/>
    <s v="Expence"/>
    <n v="86784"/>
  </r>
  <r>
    <n v="132"/>
    <x v="3"/>
    <x v="3"/>
    <x v="2"/>
    <d v="2020-10-30T00:00:00"/>
    <s v="Piad"/>
    <s v="Peninah"/>
    <s v="Income"/>
    <n v="86312"/>
  </r>
  <r>
    <n v="133"/>
    <x v="4"/>
    <x v="0"/>
    <x v="21"/>
    <d v="2020-08-29T00:00:00"/>
    <s v="Piad"/>
    <s v="Vero"/>
    <s v="Expence"/>
    <n v="70597"/>
  </r>
  <r>
    <n v="134"/>
    <x v="3"/>
    <x v="1"/>
    <x v="23"/>
    <d v="2020-06-13T00:00:00"/>
    <s v="Piad"/>
    <s v="Mercy"/>
    <s v="Income"/>
    <n v="71979"/>
  </r>
  <r>
    <n v="135"/>
    <x v="0"/>
    <x v="2"/>
    <x v="14"/>
    <d v="2020-10-07T00:00:00"/>
    <s v="Piad"/>
    <s v="Nancy"/>
    <s v="Expence"/>
    <n v="74266"/>
  </r>
  <r>
    <n v="136"/>
    <x v="6"/>
    <x v="3"/>
    <x v="25"/>
    <d v="2020-04-23T00:00:00"/>
    <s v="Piad"/>
    <s v="Peter"/>
    <s v="Income"/>
    <n v="87296"/>
  </r>
  <r>
    <n v="137"/>
    <x v="1"/>
    <x v="0"/>
    <x v="10"/>
    <d v="2020-06-17T00:00:00"/>
    <s v="Piad"/>
    <s v="Njeri"/>
    <s v="Expence"/>
    <n v="82571"/>
  </r>
  <r>
    <n v="138"/>
    <x v="4"/>
    <x v="1"/>
    <x v="21"/>
    <d v="2020-08-27T00:00:00"/>
    <s v="Piad"/>
    <s v="Peninah"/>
    <s v="Income"/>
    <n v="79591"/>
  </r>
  <r>
    <n v="139"/>
    <x v="0"/>
    <x v="2"/>
    <x v="5"/>
    <d v="2020-06-15T00:00:00"/>
    <s v="Piad"/>
    <s v="Vero"/>
    <s v="Expence"/>
    <n v="87614"/>
  </r>
  <r>
    <n v="140"/>
    <x v="6"/>
    <x v="3"/>
    <x v="10"/>
    <d v="2020-01-30T00:00:00"/>
    <s v="Piad"/>
    <s v="Mercy"/>
    <s v="Income"/>
    <n v="82893"/>
  </r>
  <r>
    <n v="141"/>
    <x v="6"/>
    <x v="0"/>
    <x v="1"/>
    <d v="2020-12-27T00:00:00"/>
    <s v="Piad"/>
    <s v="Nancy"/>
    <s v="Expence"/>
    <n v="70038"/>
  </r>
  <r>
    <n v="142"/>
    <x v="4"/>
    <x v="1"/>
    <x v="18"/>
    <d v="2020-08-29T00:00:00"/>
    <s v="Piad"/>
    <s v="Peter"/>
    <s v="Income"/>
    <n v="75392"/>
  </r>
  <r>
    <n v="143"/>
    <x v="5"/>
    <x v="2"/>
    <x v="12"/>
    <d v="2020-06-02T00:00:00"/>
    <s v="Piad"/>
    <s v="Njeri"/>
    <s v="Expence"/>
    <n v="77359"/>
  </r>
  <r>
    <n v="144"/>
    <x v="6"/>
    <x v="3"/>
    <x v="4"/>
    <d v="2020-04-18T00:00:00"/>
    <s v="Piad"/>
    <s v="Peninah"/>
    <s v="Income"/>
    <n v="92250"/>
  </r>
  <r>
    <n v="145"/>
    <x v="2"/>
    <x v="0"/>
    <x v="11"/>
    <d v="2020-01-06T00:00:00"/>
    <s v="Piad"/>
    <s v="Vero"/>
    <s v="Expence"/>
    <n v="91199"/>
  </r>
  <r>
    <n v="146"/>
    <x v="1"/>
    <x v="1"/>
    <x v="19"/>
    <d v="2020-04-04T00:00:00"/>
    <s v="Piad"/>
    <s v="Mercy"/>
    <s v="Income"/>
    <n v="99063"/>
  </r>
  <r>
    <n v="147"/>
    <x v="4"/>
    <x v="2"/>
    <x v="0"/>
    <d v="2020-01-03T00:00:00"/>
    <s v="Piad"/>
    <s v="Nancy"/>
    <s v="Expence"/>
    <n v="95710"/>
  </r>
  <r>
    <n v="148"/>
    <x v="4"/>
    <x v="3"/>
    <x v="23"/>
    <d v="2020-08-11T00:00:00"/>
    <s v="Piad"/>
    <s v="Peter"/>
    <s v="Income"/>
    <n v="77799"/>
  </r>
  <r>
    <n v="149"/>
    <x v="1"/>
    <x v="0"/>
    <x v="4"/>
    <d v="2020-01-21T00:00:00"/>
    <s v="Piad"/>
    <s v="Njeri"/>
    <s v="Expence"/>
    <n v="73352"/>
  </r>
  <r>
    <n v="150"/>
    <x v="6"/>
    <x v="1"/>
    <x v="16"/>
    <d v="2020-09-02T00:00:00"/>
    <s v="Piad"/>
    <s v="Peninah"/>
    <s v="Income"/>
    <n v="95441"/>
  </r>
  <r>
    <n v="151"/>
    <x v="1"/>
    <x v="2"/>
    <x v="19"/>
    <d v="2020-07-14T00:00:00"/>
    <s v="Piad"/>
    <s v="Vero"/>
    <s v="Expence"/>
    <n v="82621"/>
  </r>
  <r>
    <n v="152"/>
    <x v="3"/>
    <x v="3"/>
    <x v="7"/>
    <d v="2020-02-15T00:00:00"/>
    <s v="Piad"/>
    <s v="Mercy"/>
    <s v="Income"/>
    <n v="96339"/>
  </r>
  <r>
    <n v="153"/>
    <x v="0"/>
    <x v="0"/>
    <x v="12"/>
    <d v="2020-05-08T00:00:00"/>
    <s v="Piad"/>
    <s v="Nancy"/>
    <s v="Expence"/>
    <n v="96160"/>
  </r>
  <r>
    <n v="154"/>
    <x v="3"/>
    <x v="1"/>
    <x v="23"/>
    <d v="2020-10-23T00:00:00"/>
    <s v="Piad"/>
    <s v="Peter"/>
    <s v="Income"/>
    <n v="82797"/>
  </r>
  <r>
    <n v="155"/>
    <x v="5"/>
    <x v="2"/>
    <x v="7"/>
    <d v="2020-08-30T00:00:00"/>
    <s v="Piad"/>
    <s v="Njeri"/>
    <s v="Expence"/>
    <n v="94284"/>
  </r>
  <r>
    <n v="156"/>
    <x v="1"/>
    <x v="3"/>
    <x v="23"/>
    <d v="2020-03-24T00:00:00"/>
    <s v="Piad"/>
    <s v="Peninah"/>
    <s v="Income"/>
    <n v="98858"/>
  </r>
  <r>
    <n v="157"/>
    <x v="3"/>
    <x v="0"/>
    <x v="24"/>
    <d v="2020-10-01T00:00:00"/>
    <s v="Piad"/>
    <s v="Vero"/>
    <s v="Expence"/>
    <n v="91449"/>
  </r>
  <r>
    <n v="158"/>
    <x v="6"/>
    <x v="1"/>
    <x v="5"/>
    <d v="2020-07-13T00:00:00"/>
    <s v="Piad"/>
    <s v="Mercy"/>
    <s v="Income"/>
    <n v="99091"/>
  </r>
  <r>
    <n v="159"/>
    <x v="0"/>
    <x v="2"/>
    <x v="23"/>
    <d v="2020-07-12T00:00:00"/>
    <s v="Piad"/>
    <s v="Nancy"/>
    <s v="Expence"/>
    <n v="99647"/>
  </r>
  <r>
    <n v="160"/>
    <x v="3"/>
    <x v="3"/>
    <x v="15"/>
    <d v="2020-10-29T00:00:00"/>
    <s v="Piad"/>
    <s v="Peter"/>
    <s v="Income"/>
    <n v="93530"/>
  </r>
  <r>
    <n v="161"/>
    <x v="6"/>
    <x v="0"/>
    <x v="18"/>
    <d v="2020-09-28T00:00:00"/>
    <s v="Piad"/>
    <s v="Njeri"/>
    <s v="Expence"/>
    <n v="76706"/>
  </r>
  <r>
    <n v="162"/>
    <x v="1"/>
    <x v="1"/>
    <x v="19"/>
    <d v="2020-12-18T00:00:00"/>
    <s v="Piad"/>
    <s v="Peninah"/>
    <s v="Income"/>
    <n v="70291"/>
  </r>
  <r>
    <n v="163"/>
    <x v="5"/>
    <x v="2"/>
    <x v="15"/>
    <d v="2020-09-30T00:00:00"/>
    <s v="Piad"/>
    <s v="Vero"/>
    <s v="Expence"/>
    <n v="93520"/>
  </r>
  <r>
    <n v="164"/>
    <x v="4"/>
    <x v="3"/>
    <x v="14"/>
    <d v="2020-06-24T00:00:00"/>
    <s v="Piad"/>
    <s v="Mercy"/>
    <s v="Income"/>
    <n v="88487"/>
  </r>
  <r>
    <n v="165"/>
    <x v="1"/>
    <x v="0"/>
    <x v="18"/>
    <d v="2020-04-02T00:00:00"/>
    <s v="Piad"/>
    <s v="Nancy"/>
    <s v="Expence"/>
    <n v="92407"/>
  </r>
  <r>
    <n v="166"/>
    <x v="0"/>
    <x v="1"/>
    <x v="9"/>
    <d v="2020-07-17T00:00:00"/>
    <s v="Piad"/>
    <s v="Peter"/>
    <s v="Income"/>
    <n v="8899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66">
  <r>
    <n v="1"/>
    <x v="0"/>
    <s v="Water"/>
    <s v="H"/>
    <x v="0"/>
    <s v="Piad"/>
    <s v="Vero"/>
    <x v="0"/>
    <n v="81041"/>
  </r>
  <r>
    <n v="2"/>
    <x v="1"/>
    <s v="Power"/>
    <s v="J"/>
    <x v="1"/>
    <s v="Piad"/>
    <s v="Mercy"/>
    <x v="1"/>
    <n v="72188"/>
  </r>
  <r>
    <n v="3"/>
    <x v="2"/>
    <s v="Rent"/>
    <s v="J"/>
    <x v="2"/>
    <s v="Piad"/>
    <s v="Nancy"/>
    <x v="0"/>
    <n v="72879"/>
  </r>
  <r>
    <n v="4"/>
    <x v="2"/>
    <s v="Levy"/>
    <s v="U"/>
    <x v="3"/>
    <s v="Piad"/>
    <s v="Peter"/>
    <x v="1"/>
    <n v="71782"/>
  </r>
  <r>
    <n v="5"/>
    <x v="0"/>
    <s v="Water"/>
    <s v="U"/>
    <x v="4"/>
    <s v="Piad"/>
    <s v="Njeri"/>
    <x v="0"/>
    <n v="98307"/>
  </r>
  <r>
    <n v="6"/>
    <x v="3"/>
    <s v="Power"/>
    <s v="B"/>
    <x v="5"/>
    <s v="Piad"/>
    <s v="Peninah"/>
    <x v="1"/>
    <n v="74121"/>
  </r>
  <r>
    <n v="7"/>
    <x v="4"/>
    <s v="Rent"/>
    <s v="Y"/>
    <x v="6"/>
    <s v="Piad"/>
    <s v="Vero"/>
    <x v="0"/>
    <n v="91862"/>
  </r>
  <r>
    <n v="8"/>
    <x v="3"/>
    <s v="Levy"/>
    <s v="I"/>
    <x v="7"/>
    <s v="Piad"/>
    <s v="Mercy"/>
    <x v="1"/>
    <n v="98706"/>
  </r>
  <r>
    <n v="9"/>
    <x v="5"/>
    <s v="Water"/>
    <s v="M"/>
    <x v="8"/>
    <s v="Piad"/>
    <s v="Nancy"/>
    <x v="0"/>
    <n v="74208"/>
  </r>
  <r>
    <n v="10"/>
    <x v="2"/>
    <s v="Power"/>
    <s v="K"/>
    <x v="9"/>
    <s v="Piad"/>
    <s v="Peter"/>
    <x v="1"/>
    <n v="86032"/>
  </r>
  <r>
    <n v="11"/>
    <x v="5"/>
    <s v="Rent"/>
    <s v="N"/>
    <x v="10"/>
    <s v="Piad"/>
    <s v="Njeri"/>
    <x v="0"/>
    <n v="99847"/>
  </r>
  <r>
    <n v="12"/>
    <x v="4"/>
    <s v="Levy"/>
    <s v="D"/>
    <x v="11"/>
    <s v="Piad"/>
    <s v="Peninah"/>
    <x v="1"/>
    <n v="93674"/>
  </r>
  <r>
    <n v="13"/>
    <x v="3"/>
    <s v="Water"/>
    <s v="B"/>
    <x v="12"/>
    <s v="Piad"/>
    <s v="Vero"/>
    <x v="0"/>
    <n v="82467"/>
  </r>
  <r>
    <n v="14"/>
    <x v="2"/>
    <s v="Power"/>
    <s v="S"/>
    <x v="13"/>
    <s v="Piad"/>
    <s v="Mercy"/>
    <x v="1"/>
    <n v="77233"/>
  </r>
  <r>
    <n v="15"/>
    <x v="1"/>
    <s v="Rent"/>
    <s v="C"/>
    <x v="14"/>
    <s v="Piad"/>
    <s v="Nancy"/>
    <x v="0"/>
    <n v="71303"/>
  </r>
  <r>
    <n v="16"/>
    <x v="6"/>
    <s v="Levy"/>
    <s v="F"/>
    <x v="15"/>
    <s v="Piad"/>
    <s v="Peter"/>
    <x v="1"/>
    <n v="79725"/>
  </r>
  <r>
    <n v="17"/>
    <x v="1"/>
    <s v="Water"/>
    <s v="K"/>
    <x v="16"/>
    <s v="Piad"/>
    <s v="Njeri"/>
    <x v="0"/>
    <n v="77125"/>
  </r>
  <r>
    <n v="18"/>
    <x v="1"/>
    <s v="Power"/>
    <s v="C"/>
    <x v="17"/>
    <s v="Piad"/>
    <s v="Peninah"/>
    <x v="1"/>
    <n v="83492"/>
  </r>
  <r>
    <n v="19"/>
    <x v="7"/>
    <s v="Rent"/>
    <s v="X"/>
    <x v="18"/>
    <s v="Piad"/>
    <s v="Vero"/>
    <x v="0"/>
    <n v="74255"/>
  </r>
  <r>
    <n v="20"/>
    <x v="1"/>
    <s v="Levy"/>
    <s v="N"/>
    <x v="19"/>
    <s v="Piad"/>
    <s v="Mercy"/>
    <x v="1"/>
    <n v="89780"/>
  </r>
  <r>
    <n v="21"/>
    <x v="1"/>
    <s v="Water"/>
    <s v="K"/>
    <x v="20"/>
    <s v="Piad"/>
    <s v="Nancy"/>
    <x v="0"/>
    <n v="85467"/>
  </r>
  <r>
    <n v="22"/>
    <x v="1"/>
    <s v="Power"/>
    <s v="D"/>
    <x v="6"/>
    <s v="Piad"/>
    <s v="Peter"/>
    <x v="1"/>
    <n v="93517"/>
  </r>
  <r>
    <n v="23"/>
    <x v="5"/>
    <s v="Rent"/>
    <s v="I"/>
    <x v="21"/>
    <s v="Piad"/>
    <s v="Njeri"/>
    <x v="0"/>
    <n v="75587"/>
  </r>
  <r>
    <n v="24"/>
    <x v="4"/>
    <s v="Levy"/>
    <s v="D"/>
    <x v="22"/>
    <s v="Piad"/>
    <s v="Peninah"/>
    <x v="1"/>
    <n v="96127"/>
  </r>
  <r>
    <n v="25"/>
    <x v="7"/>
    <s v="Water"/>
    <s v="L"/>
    <x v="23"/>
    <s v="Piad"/>
    <s v="Vero"/>
    <x v="0"/>
    <n v="98094"/>
  </r>
  <r>
    <n v="26"/>
    <x v="3"/>
    <s v="Power"/>
    <s v="G"/>
    <x v="24"/>
    <s v="Piad"/>
    <s v="Mercy"/>
    <x v="1"/>
    <n v="76539"/>
  </r>
  <r>
    <n v="27"/>
    <x v="4"/>
    <s v="Rent"/>
    <s v="O"/>
    <x v="12"/>
    <s v="Piad"/>
    <s v="Nancy"/>
    <x v="0"/>
    <n v="70016"/>
  </r>
  <r>
    <n v="28"/>
    <x v="3"/>
    <s v="Levy"/>
    <s v="O"/>
    <x v="25"/>
    <s v="Piad"/>
    <s v="Peter"/>
    <x v="1"/>
    <n v="71863"/>
  </r>
  <r>
    <n v="29"/>
    <x v="3"/>
    <s v="Water"/>
    <s v="O"/>
    <x v="26"/>
    <s v="Piad"/>
    <s v="Njeri"/>
    <x v="0"/>
    <n v="90012"/>
  </r>
  <r>
    <n v="30"/>
    <x v="0"/>
    <s v="Power"/>
    <s v="Y"/>
    <x v="27"/>
    <s v="Piad"/>
    <s v="Peninah"/>
    <x v="1"/>
    <n v="96932"/>
  </r>
  <r>
    <n v="31"/>
    <x v="0"/>
    <s v="Rent"/>
    <s v="T"/>
    <x v="28"/>
    <s v="Piad"/>
    <s v="Vero"/>
    <x v="0"/>
    <n v="75271"/>
  </r>
  <r>
    <n v="32"/>
    <x v="7"/>
    <s v="Levy"/>
    <s v="Z"/>
    <x v="29"/>
    <s v="Piad"/>
    <s v="Mercy"/>
    <x v="1"/>
    <n v="81281"/>
  </r>
  <r>
    <n v="33"/>
    <x v="3"/>
    <s v="Water"/>
    <s v="F"/>
    <x v="30"/>
    <s v="Piad"/>
    <s v="Nancy"/>
    <x v="0"/>
    <n v="70891"/>
  </r>
  <r>
    <n v="34"/>
    <x v="6"/>
    <s v="Power"/>
    <s v="S"/>
    <x v="31"/>
    <s v="Piad"/>
    <s v="Peter"/>
    <x v="1"/>
    <n v="74171"/>
  </r>
  <r>
    <n v="35"/>
    <x v="3"/>
    <s v="Rent"/>
    <s v="W"/>
    <x v="5"/>
    <s v="Piad"/>
    <s v="Njeri"/>
    <x v="0"/>
    <n v="84429"/>
  </r>
  <r>
    <n v="36"/>
    <x v="2"/>
    <s v="Levy"/>
    <s v="P"/>
    <x v="32"/>
    <s v="Piad"/>
    <s v="Peninah"/>
    <x v="1"/>
    <n v="78181"/>
  </r>
  <r>
    <n v="37"/>
    <x v="1"/>
    <s v="Water"/>
    <s v="O"/>
    <x v="33"/>
    <s v="Piad"/>
    <s v="Vero"/>
    <x v="0"/>
    <n v="88565"/>
  </r>
  <r>
    <n v="38"/>
    <x v="7"/>
    <s v="Power"/>
    <s v="H"/>
    <x v="34"/>
    <s v="Piad"/>
    <s v="Mercy"/>
    <x v="1"/>
    <n v="77870"/>
  </r>
  <r>
    <n v="39"/>
    <x v="7"/>
    <s v="Rent"/>
    <s v="D"/>
    <x v="8"/>
    <s v="Piad"/>
    <s v="Nancy"/>
    <x v="0"/>
    <n v="92355"/>
  </r>
  <r>
    <n v="40"/>
    <x v="7"/>
    <s v="Levy"/>
    <s v="O"/>
    <x v="35"/>
    <s v="Piad"/>
    <s v="Peter"/>
    <x v="1"/>
    <n v="99226"/>
  </r>
  <r>
    <n v="41"/>
    <x v="3"/>
    <s v="Water"/>
    <s v="I"/>
    <x v="36"/>
    <s v="Piad"/>
    <s v="Njeri"/>
    <x v="0"/>
    <n v="88253"/>
  </r>
  <r>
    <n v="42"/>
    <x v="7"/>
    <s v="Power"/>
    <s v="N"/>
    <x v="37"/>
    <s v="Piad"/>
    <s v="Peninah"/>
    <x v="1"/>
    <n v="83428"/>
  </r>
  <r>
    <n v="43"/>
    <x v="5"/>
    <s v="Rent"/>
    <s v="S"/>
    <x v="38"/>
    <s v="Piad"/>
    <s v="Vero"/>
    <x v="0"/>
    <n v="93409"/>
  </r>
  <r>
    <n v="44"/>
    <x v="5"/>
    <s v="Levy"/>
    <s v="S"/>
    <x v="39"/>
    <s v="Piad"/>
    <s v="Mercy"/>
    <x v="1"/>
    <n v="88641"/>
  </r>
  <r>
    <n v="45"/>
    <x v="6"/>
    <s v="Water"/>
    <s v="O"/>
    <x v="40"/>
    <s v="Piad"/>
    <s v="Nancy"/>
    <x v="0"/>
    <n v="73328"/>
  </r>
  <r>
    <n v="46"/>
    <x v="5"/>
    <s v="Power"/>
    <s v="P"/>
    <x v="41"/>
    <s v="Piad"/>
    <s v="Peter"/>
    <x v="1"/>
    <n v="83855"/>
  </r>
  <r>
    <n v="47"/>
    <x v="7"/>
    <s v="Rent"/>
    <s v="I"/>
    <x v="42"/>
    <s v="Piad"/>
    <s v="Njeri"/>
    <x v="0"/>
    <n v="71606"/>
  </r>
  <r>
    <n v="48"/>
    <x v="5"/>
    <s v="Levy"/>
    <s v="G"/>
    <x v="43"/>
    <s v="Piad"/>
    <s v="Peninah"/>
    <x v="1"/>
    <n v="94815"/>
  </r>
  <r>
    <n v="49"/>
    <x v="4"/>
    <s v="Water"/>
    <s v="W"/>
    <x v="44"/>
    <s v="Piad"/>
    <s v="Vero"/>
    <x v="0"/>
    <n v="91719"/>
  </r>
  <r>
    <n v="50"/>
    <x v="5"/>
    <s v="Power"/>
    <s v="A"/>
    <x v="45"/>
    <s v="Piad"/>
    <s v="Mercy"/>
    <x v="1"/>
    <n v="82315"/>
  </r>
  <r>
    <n v="51"/>
    <x v="6"/>
    <s v="Rent"/>
    <s v="V"/>
    <x v="46"/>
    <s v="Piad"/>
    <s v="Nancy"/>
    <x v="0"/>
    <n v="93175"/>
  </r>
  <r>
    <n v="52"/>
    <x v="3"/>
    <s v="Levy"/>
    <s v="S"/>
    <x v="47"/>
    <s v="Piad"/>
    <s v="Peter"/>
    <x v="1"/>
    <n v="87197"/>
  </r>
  <r>
    <n v="53"/>
    <x v="3"/>
    <s v="Water"/>
    <s v="T"/>
    <x v="48"/>
    <s v="Piad"/>
    <s v="Njeri"/>
    <x v="0"/>
    <n v="93655"/>
  </r>
  <r>
    <n v="54"/>
    <x v="0"/>
    <s v="Power"/>
    <s v="V"/>
    <x v="49"/>
    <s v="Piad"/>
    <s v="Peninah"/>
    <x v="1"/>
    <n v="92451"/>
  </r>
  <r>
    <n v="55"/>
    <x v="1"/>
    <s v="Rent"/>
    <s v="V"/>
    <x v="50"/>
    <s v="Piad"/>
    <s v="Vero"/>
    <x v="0"/>
    <n v="82982"/>
  </r>
  <r>
    <n v="56"/>
    <x v="4"/>
    <s v="Levy"/>
    <s v="J"/>
    <x v="51"/>
    <s v="Piad"/>
    <s v="Mercy"/>
    <x v="1"/>
    <n v="78752"/>
  </r>
  <r>
    <n v="57"/>
    <x v="4"/>
    <s v="Water"/>
    <s v="E"/>
    <x v="52"/>
    <s v="Piad"/>
    <s v="Nancy"/>
    <x v="0"/>
    <n v="97705"/>
  </r>
  <r>
    <n v="58"/>
    <x v="5"/>
    <s v="Power"/>
    <s v="P"/>
    <x v="53"/>
    <s v="Piad"/>
    <s v="Peter"/>
    <x v="1"/>
    <n v="82752"/>
  </r>
  <r>
    <n v="59"/>
    <x v="5"/>
    <s v="Rent"/>
    <s v="B"/>
    <x v="54"/>
    <s v="Piad"/>
    <s v="Njeri"/>
    <x v="0"/>
    <n v="91599"/>
  </r>
  <r>
    <n v="60"/>
    <x v="1"/>
    <s v="Levy"/>
    <s v="K"/>
    <x v="55"/>
    <s v="Piad"/>
    <s v="Peninah"/>
    <x v="1"/>
    <n v="91143"/>
  </r>
  <r>
    <n v="61"/>
    <x v="6"/>
    <s v="Water"/>
    <s v="S"/>
    <x v="56"/>
    <s v="Piad"/>
    <s v="Vero"/>
    <x v="0"/>
    <n v="72693"/>
  </r>
  <r>
    <n v="62"/>
    <x v="6"/>
    <s v="Power"/>
    <s v="A"/>
    <x v="48"/>
    <s v="Piad"/>
    <s v="Mercy"/>
    <x v="1"/>
    <n v="78819"/>
  </r>
  <r>
    <n v="63"/>
    <x v="6"/>
    <s v="Rent"/>
    <s v="D"/>
    <x v="57"/>
    <s v="Piad"/>
    <s v="Nancy"/>
    <x v="0"/>
    <n v="84869"/>
  </r>
  <r>
    <n v="64"/>
    <x v="2"/>
    <s v="Levy"/>
    <s v="L"/>
    <x v="58"/>
    <s v="Piad"/>
    <s v="Peter"/>
    <x v="1"/>
    <n v="74211"/>
  </r>
  <r>
    <n v="65"/>
    <x v="3"/>
    <s v="Water"/>
    <s v="M"/>
    <x v="59"/>
    <s v="Piad"/>
    <s v="Njeri"/>
    <x v="0"/>
    <n v="83877"/>
  </r>
  <r>
    <n v="66"/>
    <x v="3"/>
    <s v="Power"/>
    <s v="A"/>
    <x v="60"/>
    <s v="Piad"/>
    <s v="Peninah"/>
    <x v="1"/>
    <n v="91826"/>
  </r>
  <r>
    <n v="67"/>
    <x v="6"/>
    <s v="Rent"/>
    <s v="D"/>
    <x v="61"/>
    <s v="Piad"/>
    <s v="Vero"/>
    <x v="0"/>
    <n v="93883"/>
  </r>
  <r>
    <n v="68"/>
    <x v="6"/>
    <s v="Levy"/>
    <s v="P"/>
    <x v="62"/>
    <s v="Piad"/>
    <s v="Mercy"/>
    <x v="1"/>
    <n v="89064"/>
  </r>
  <r>
    <n v="69"/>
    <x v="3"/>
    <s v="Water"/>
    <s v="U"/>
    <x v="63"/>
    <s v="Piad"/>
    <s v="Nancy"/>
    <x v="0"/>
    <n v="74735"/>
  </r>
  <r>
    <n v="70"/>
    <x v="3"/>
    <s v="Power"/>
    <s v="Q"/>
    <x v="64"/>
    <s v="Piad"/>
    <s v="Peter"/>
    <x v="1"/>
    <n v="95457"/>
  </r>
  <r>
    <n v="71"/>
    <x v="0"/>
    <s v="Rent"/>
    <s v="M"/>
    <x v="22"/>
    <s v="Piad"/>
    <s v="Njeri"/>
    <x v="0"/>
    <n v="87290"/>
  </r>
  <r>
    <n v="72"/>
    <x v="3"/>
    <s v="Levy"/>
    <s v="V"/>
    <x v="65"/>
    <s v="Piad"/>
    <s v="Peninah"/>
    <x v="1"/>
    <n v="85181"/>
  </r>
  <r>
    <n v="73"/>
    <x v="4"/>
    <s v="Water"/>
    <s v="T"/>
    <x v="30"/>
    <s v="Piad"/>
    <s v="Vero"/>
    <x v="0"/>
    <n v="88993"/>
  </r>
  <r>
    <n v="74"/>
    <x v="2"/>
    <s v="Power"/>
    <s v="I"/>
    <x v="66"/>
    <s v="Piad"/>
    <s v="Mercy"/>
    <x v="1"/>
    <n v="95369"/>
  </r>
  <r>
    <n v="75"/>
    <x v="3"/>
    <s v="Rent"/>
    <s v="K"/>
    <x v="67"/>
    <s v="Piad"/>
    <s v="Nancy"/>
    <x v="0"/>
    <n v="76590"/>
  </r>
  <r>
    <n v="76"/>
    <x v="3"/>
    <s v="Levy"/>
    <s v="X"/>
    <x v="49"/>
    <s v="Piad"/>
    <s v="Peter"/>
    <x v="1"/>
    <n v="97947"/>
  </r>
  <r>
    <n v="77"/>
    <x v="7"/>
    <s v="Water"/>
    <s v="N"/>
    <x v="28"/>
    <s v="Piad"/>
    <s v="Njeri"/>
    <x v="0"/>
    <n v="83028"/>
  </r>
  <r>
    <n v="78"/>
    <x v="1"/>
    <s v="Power"/>
    <s v="T"/>
    <x v="68"/>
    <s v="Piad"/>
    <s v="Peninah"/>
    <x v="1"/>
    <n v="91847"/>
  </r>
  <r>
    <n v="79"/>
    <x v="4"/>
    <s v="Rent"/>
    <s v="D"/>
    <x v="69"/>
    <s v="Piad"/>
    <s v="Vero"/>
    <x v="0"/>
    <n v="75961"/>
  </r>
  <r>
    <n v="80"/>
    <x v="7"/>
    <s v="Levy"/>
    <s v="V"/>
    <x v="70"/>
    <s v="Piad"/>
    <s v="Mercy"/>
    <x v="1"/>
    <n v="75806"/>
  </r>
  <r>
    <n v="81"/>
    <x v="4"/>
    <s v="Water"/>
    <s v="W"/>
    <x v="31"/>
    <s v="Piad"/>
    <s v="Nancy"/>
    <x v="0"/>
    <n v="85683"/>
  </r>
  <r>
    <n v="82"/>
    <x v="6"/>
    <s v="Power"/>
    <s v="D"/>
    <x v="71"/>
    <s v="Piad"/>
    <s v="Peter"/>
    <x v="1"/>
    <n v="86657"/>
  </r>
  <r>
    <n v="83"/>
    <x v="4"/>
    <s v="Rent"/>
    <s v="M"/>
    <x v="72"/>
    <s v="Piad"/>
    <s v="Njeri"/>
    <x v="0"/>
    <n v="99958"/>
  </r>
  <r>
    <n v="84"/>
    <x v="6"/>
    <s v="Levy"/>
    <s v="H"/>
    <x v="2"/>
    <s v="Piad"/>
    <s v="Peninah"/>
    <x v="1"/>
    <n v="71942"/>
  </r>
  <r>
    <n v="85"/>
    <x v="3"/>
    <s v="Water"/>
    <s v="A"/>
    <x v="73"/>
    <s v="Piad"/>
    <s v="Vero"/>
    <x v="0"/>
    <n v="74302"/>
  </r>
  <r>
    <n v="86"/>
    <x v="3"/>
    <s v="Power"/>
    <s v="P"/>
    <x v="74"/>
    <s v="Piad"/>
    <s v="Mercy"/>
    <x v="1"/>
    <n v="75302"/>
  </r>
  <r>
    <n v="87"/>
    <x v="5"/>
    <s v="Rent"/>
    <s v="U"/>
    <x v="75"/>
    <s v="Piad"/>
    <s v="Nancy"/>
    <x v="0"/>
    <n v="80274"/>
  </r>
  <r>
    <n v="88"/>
    <x v="2"/>
    <s v="Levy"/>
    <s v="I"/>
    <x v="76"/>
    <s v="Piad"/>
    <s v="Peter"/>
    <x v="1"/>
    <n v="99371"/>
  </r>
  <r>
    <n v="89"/>
    <x v="7"/>
    <s v="Water"/>
    <s v="U"/>
    <x v="40"/>
    <s v="Piad"/>
    <s v="Njeri"/>
    <x v="0"/>
    <n v="99405"/>
  </r>
  <r>
    <n v="90"/>
    <x v="2"/>
    <s v="Power"/>
    <s v="V"/>
    <x v="77"/>
    <s v="Piad"/>
    <s v="Peninah"/>
    <x v="1"/>
    <n v="71873"/>
  </r>
  <r>
    <n v="91"/>
    <x v="3"/>
    <s v="Rent"/>
    <s v="K"/>
    <x v="65"/>
    <s v="Piad"/>
    <s v="Vero"/>
    <x v="0"/>
    <n v="71861"/>
  </r>
  <r>
    <n v="92"/>
    <x v="5"/>
    <s v="Levy"/>
    <s v="T"/>
    <x v="57"/>
    <s v="Piad"/>
    <s v="Mercy"/>
    <x v="1"/>
    <n v="79882"/>
  </r>
  <r>
    <n v="93"/>
    <x v="1"/>
    <s v="Water"/>
    <s v="A"/>
    <x v="78"/>
    <s v="Piad"/>
    <s v="Nancy"/>
    <x v="0"/>
    <n v="92326"/>
  </r>
  <r>
    <n v="94"/>
    <x v="1"/>
    <s v="Power"/>
    <s v="W"/>
    <x v="79"/>
    <s v="Piad"/>
    <s v="Peter"/>
    <x v="1"/>
    <n v="90784"/>
  </r>
  <r>
    <n v="95"/>
    <x v="6"/>
    <s v="Rent"/>
    <s v="R"/>
    <x v="73"/>
    <s v="Piad"/>
    <s v="Njeri"/>
    <x v="0"/>
    <n v="80716"/>
  </r>
  <r>
    <n v="96"/>
    <x v="0"/>
    <s v="Levy"/>
    <s v="D"/>
    <x v="12"/>
    <s v="Piad"/>
    <s v="Peninah"/>
    <x v="1"/>
    <n v="73827"/>
  </r>
  <r>
    <n v="97"/>
    <x v="0"/>
    <s v="Water"/>
    <s v="S"/>
    <x v="7"/>
    <s v="Piad"/>
    <s v="Vero"/>
    <x v="0"/>
    <n v="70636"/>
  </r>
  <r>
    <n v="98"/>
    <x v="1"/>
    <s v="Power"/>
    <s v="V"/>
    <x v="80"/>
    <s v="Piad"/>
    <s v="Mercy"/>
    <x v="1"/>
    <n v="96479"/>
  </r>
  <r>
    <n v="99"/>
    <x v="7"/>
    <s v="Rent"/>
    <s v="B"/>
    <x v="26"/>
    <s v="Piad"/>
    <s v="Nancy"/>
    <x v="0"/>
    <n v="81845"/>
  </r>
  <r>
    <n v="100"/>
    <x v="4"/>
    <s v="Levy"/>
    <s v="D"/>
    <x v="81"/>
    <s v="Piad"/>
    <s v="Peter"/>
    <x v="1"/>
    <n v="78888"/>
  </r>
  <r>
    <n v="101"/>
    <x v="3"/>
    <s v="Water"/>
    <s v="L"/>
    <x v="82"/>
    <s v="Piad"/>
    <s v="Njeri"/>
    <x v="0"/>
    <n v="81377"/>
  </r>
  <r>
    <n v="102"/>
    <x v="7"/>
    <s v="Power"/>
    <s v="X"/>
    <x v="83"/>
    <s v="Piad"/>
    <s v="Peninah"/>
    <x v="1"/>
    <n v="93211"/>
  </r>
  <r>
    <n v="103"/>
    <x v="2"/>
    <s v="Rent"/>
    <s v="D"/>
    <x v="84"/>
    <s v="Piad"/>
    <s v="Vero"/>
    <x v="0"/>
    <n v="92932"/>
  </r>
  <r>
    <n v="104"/>
    <x v="2"/>
    <s v="Levy"/>
    <s v="S"/>
    <x v="85"/>
    <s v="Piad"/>
    <s v="Mercy"/>
    <x v="1"/>
    <n v="95052"/>
  </r>
  <r>
    <n v="105"/>
    <x v="3"/>
    <s v="Water"/>
    <s v="Z"/>
    <x v="86"/>
    <s v="Piad"/>
    <s v="Nancy"/>
    <x v="0"/>
    <n v="86451"/>
  </r>
  <r>
    <n v="106"/>
    <x v="7"/>
    <s v="Power"/>
    <s v="B"/>
    <x v="87"/>
    <s v="Piad"/>
    <s v="Peter"/>
    <x v="1"/>
    <n v="89456"/>
  </r>
  <r>
    <n v="107"/>
    <x v="6"/>
    <s v="Rent"/>
    <s v="Y"/>
    <x v="68"/>
    <s v="Piad"/>
    <s v="Njeri"/>
    <x v="0"/>
    <n v="83404"/>
  </r>
  <r>
    <n v="108"/>
    <x v="3"/>
    <s v="Levy"/>
    <s v="N"/>
    <x v="88"/>
    <s v="Piad"/>
    <s v="Peninah"/>
    <x v="1"/>
    <n v="96100"/>
  </r>
  <r>
    <n v="109"/>
    <x v="7"/>
    <s v="Water"/>
    <s v="B"/>
    <x v="89"/>
    <s v="Piad"/>
    <s v="Vero"/>
    <x v="0"/>
    <n v="80871"/>
  </r>
  <r>
    <n v="110"/>
    <x v="5"/>
    <s v="Power"/>
    <s v="Q"/>
    <x v="90"/>
    <s v="Piad"/>
    <s v="Mercy"/>
    <x v="1"/>
    <n v="92966"/>
  </r>
  <r>
    <n v="111"/>
    <x v="0"/>
    <s v="Rent"/>
    <s v="W"/>
    <x v="91"/>
    <s v="Piad"/>
    <s v="Nancy"/>
    <x v="0"/>
    <n v="73891"/>
  </r>
  <r>
    <n v="112"/>
    <x v="7"/>
    <s v="Levy"/>
    <s v="K"/>
    <x v="92"/>
    <s v="Piad"/>
    <s v="Peter"/>
    <x v="1"/>
    <n v="91106"/>
  </r>
  <r>
    <n v="113"/>
    <x v="2"/>
    <s v="Water"/>
    <s v="F"/>
    <x v="93"/>
    <s v="Piad"/>
    <s v="Njeri"/>
    <x v="0"/>
    <n v="72013"/>
  </r>
  <r>
    <n v="114"/>
    <x v="7"/>
    <s v="Power"/>
    <s v="P"/>
    <x v="50"/>
    <s v="Piad"/>
    <s v="Peninah"/>
    <x v="1"/>
    <n v="73720"/>
  </r>
  <r>
    <n v="115"/>
    <x v="4"/>
    <s v="Rent"/>
    <s v="A"/>
    <x v="94"/>
    <s v="Piad"/>
    <s v="Vero"/>
    <x v="0"/>
    <n v="72706"/>
  </r>
  <r>
    <n v="116"/>
    <x v="3"/>
    <s v="Levy"/>
    <s v="M"/>
    <x v="95"/>
    <s v="Piad"/>
    <s v="Mercy"/>
    <x v="1"/>
    <n v="94492"/>
  </r>
  <r>
    <n v="117"/>
    <x v="1"/>
    <s v="Water"/>
    <s v="R"/>
    <x v="96"/>
    <s v="Piad"/>
    <s v="Nancy"/>
    <x v="0"/>
    <n v="95162"/>
  </r>
  <r>
    <n v="118"/>
    <x v="0"/>
    <s v="Power"/>
    <s v="Y"/>
    <x v="97"/>
    <s v="Piad"/>
    <s v="Peter"/>
    <x v="1"/>
    <n v="94753"/>
  </r>
  <r>
    <n v="119"/>
    <x v="2"/>
    <s v="Rent"/>
    <s v="O"/>
    <x v="58"/>
    <s v="Piad"/>
    <s v="Njeri"/>
    <x v="0"/>
    <n v="90970"/>
  </r>
  <r>
    <n v="120"/>
    <x v="1"/>
    <s v="Levy"/>
    <s v="C"/>
    <x v="98"/>
    <s v="Piad"/>
    <s v="Peninah"/>
    <x v="1"/>
    <n v="70861"/>
  </r>
  <r>
    <n v="121"/>
    <x v="2"/>
    <s v="Water"/>
    <s v="T"/>
    <x v="20"/>
    <s v="Piad"/>
    <s v="Vero"/>
    <x v="0"/>
    <n v="92802"/>
  </r>
  <r>
    <n v="122"/>
    <x v="5"/>
    <s v="Power"/>
    <s v="D"/>
    <x v="99"/>
    <s v="Piad"/>
    <s v="Mercy"/>
    <x v="1"/>
    <n v="89870"/>
  </r>
  <r>
    <n v="123"/>
    <x v="2"/>
    <s v="Rent"/>
    <s v="N"/>
    <x v="68"/>
    <s v="Piad"/>
    <s v="Nancy"/>
    <x v="0"/>
    <n v="86808"/>
  </r>
  <r>
    <n v="124"/>
    <x v="5"/>
    <s v="Levy"/>
    <s v="P"/>
    <x v="100"/>
    <s v="Piad"/>
    <s v="Peter"/>
    <x v="1"/>
    <n v="78611"/>
  </r>
  <r>
    <n v="125"/>
    <x v="7"/>
    <s v="Water"/>
    <s v="P"/>
    <x v="101"/>
    <s v="Piad"/>
    <s v="Njeri"/>
    <x v="0"/>
    <n v="85765"/>
  </r>
  <r>
    <n v="126"/>
    <x v="1"/>
    <s v="Power"/>
    <s v="B"/>
    <x v="102"/>
    <s v="Piad"/>
    <s v="Peninah"/>
    <x v="1"/>
    <n v="80560"/>
  </r>
  <r>
    <n v="127"/>
    <x v="1"/>
    <s v="Rent"/>
    <s v="A"/>
    <x v="92"/>
    <s v="Piad"/>
    <s v="Vero"/>
    <x v="0"/>
    <n v="87670"/>
  </r>
  <r>
    <n v="128"/>
    <x v="4"/>
    <s v="Levy"/>
    <s v="G"/>
    <x v="103"/>
    <s v="Piad"/>
    <s v="Mercy"/>
    <x v="1"/>
    <n v="87857"/>
  </r>
  <r>
    <n v="129"/>
    <x v="2"/>
    <s v="Water"/>
    <s v="B"/>
    <x v="42"/>
    <s v="Piad"/>
    <s v="Nancy"/>
    <x v="0"/>
    <n v="84932"/>
  </r>
  <r>
    <n v="130"/>
    <x v="4"/>
    <s v="Power"/>
    <s v="W"/>
    <x v="104"/>
    <s v="Piad"/>
    <s v="Peter"/>
    <x v="1"/>
    <n v="93359"/>
  </r>
  <r>
    <n v="131"/>
    <x v="0"/>
    <s v="Rent"/>
    <s v="W"/>
    <x v="94"/>
    <s v="Piad"/>
    <s v="Njeri"/>
    <x v="0"/>
    <n v="96743"/>
  </r>
  <r>
    <n v="132"/>
    <x v="2"/>
    <s v="Levy"/>
    <s v="G"/>
    <x v="105"/>
    <s v="Piad"/>
    <s v="Peninah"/>
    <x v="1"/>
    <n v="85806"/>
  </r>
  <r>
    <n v="133"/>
    <x v="6"/>
    <s v="Water"/>
    <s v="I"/>
    <x v="106"/>
    <s v="Piad"/>
    <s v="Vero"/>
    <x v="0"/>
    <n v="73667"/>
  </r>
  <r>
    <n v="134"/>
    <x v="5"/>
    <s v="Power"/>
    <s v="B"/>
    <x v="107"/>
    <s v="Piad"/>
    <s v="Mercy"/>
    <x v="1"/>
    <n v="89839"/>
  </r>
  <r>
    <n v="135"/>
    <x v="6"/>
    <s v="Rent"/>
    <s v="B"/>
    <x v="108"/>
    <s v="Piad"/>
    <s v="Nancy"/>
    <x v="0"/>
    <n v="92943"/>
  </r>
  <r>
    <n v="136"/>
    <x v="0"/>
    <s v="Levy"/>
    <s v="E"/>
    <x v="13"/>
    <s v="Piad"/>
    <s v="Peter"/>
    <x v="1"/>
    <n v="83451"/>
  </r>
  <r>
    <n v="137"/>
    <x v="3"/>
    <s v="Water"/>
    <s v="C"/>
    <x v="109"/>
    <s v="Piad"/>
    <s v="Njeri"/>
    <x v="0"/>
    <n v="97805"/>
  </r>
  <r>
    <n v="138"/>
    <x v="3"/>
    <s v="Power"/>
    <s v="G"/>
    <x v="46"/>
    <s v="Piad"/>
    <s v="Peninah"/>
    <x v="1"/>
    <n v="79969"/>
  </r>
  <r>
    <n v="139"/>
    <x v="7"/>
    <s v="Rent"/>
    <s v="E"/>
    <x v="110"/>
    <s v="Piad"/>
    <s v="Vero"/>
    <x v="0"/>
    <n v="72918"/>
  </r>
  <r>
    <n v="140"/>
    <x v="7"/>
    <s v="Levy"/>
    <s v="Z"/>
    <x v="0"/>
    <s v="Piad"/>
    <s v="Mercy"/>
    <x v="1"/>
    <n v="76193"/>
  </r>
  <r>
    <n v="141"/>
    <x v="2"/>
    <s v="Water"/>
    <s v="P"/>
    <x v="111"/>
    <s v="Piad"/>
    <s v="Nancy"/>
    <x v="0"/>
    <n v="98265"/>
  </r>
  <r>
    <n v="142"/>
    <x v="4"/>
    <s v="Power"/>
    <s v="U"/>
    <x v="107"/>
    <s v="Piad"/>
    <s v="Peter"/>
    <x v="1"/>
    <n v="80103"/>
  </r>
  <r>
    <n v="143"/>
    <x v="6"/>
    <s v="Rent"/>
    <s v="D"/>
    <x v="39"/>
    <s v="Piad"/>
    <s v="Njeri"/>
    <x v="0"/>
    <n v="83659"/>
  </r>
  <r>
    <n v="144"/>
    <x v="1"/>
    <s v="Levy"/>
    <s v="F"/>
    <x v="112"/>
    <s v="Piad"/>
    <s v="Peninah"/>
    <x v="1"/>
    <n v="74028"/>
  </r>
  <r>
    <n v="145"/>
    <x v="1"/>
    <s v="Water"/>
    <s v="D"/>
    <x v="113"/>
    <s v="Piad"/>
    <s v="Vero"/>
    <x v="0"/>
    <n v="99823"/>
  </r>
  <r>
    <n v="146"/>
    <x v="4"/>
    <s v="Power"/>
    <s v="J"/>
    <x v="114"/>
    <s v="Piad"/>
    <s v="Mercy"/>
    <x v="1"/>
    <n v="82783"/>
  </r>
  <r>
    <n v="147"/>
    <x v="1"/>
    <s v="Rent"/>
    <s v="M"/>
    <x v="115"/>
    <s v="Piad"/>
    <s v="Nancy"/>
    <x v="0"/>
    <n v="97507"/>
  </r>
  <r>
    <n v="148"/>
    <x v="6"/>
    <s v="Levy"/>
    <s v="G"/>
    <x v="30"/>
    <s v="Piad"/>
    <s v="Peter"/>
    <x v="1"/>
    <n v="76290"/>
  </r>
  <r>
    <n v="149"/>
    <x v="2"/>
    <s v="Water"/>
    <s v="E"/>
    <x v="114"/>
    <s v="Piad"/>
    <s v="Njeri"/>
    <x v="0"/>
    <n v="73160"/>
  </r>
  <r>
    <n v="150"/>
    <x v="1"/>
    <s v="Power"/>
    <s v="J"/>
    <x v="116"/>
    <s v="Piad"/>
    <s v="Peninah"/>
    <x v="1"/>
    <n v="84812"/>
  </r>
  <r>
    <n v="151"/>
    <x v="7"/>
    <s v="Rent"/>
    <s v="S"/>
    <x v="117"/>
    <s v="Piad"/>
    <s v="Vero"/>
    <x v="0"/>
    <n v="84027"/>
  </r>
  <r>
    <n v="152"/>
    <x v="3"/>
    <s v="Levy"/>
    <s v="J"/>
    <x v="118"/>
    <s v="Piad"/>
    <s v="Mercy"/>
    <x v="1"/>
    <n v="88983"/>
  </r>
  <r>
    <n v="153"/>
    <x v="1"/>
    <s v="Water"/>
    <s v="L"/>
    <x v="119"/>
    <s v="Piad"/>
    <s v="Nancy"/>
    <x v="0"/>
    <n v="94261"/>
  </r>
  <r>
    <n v="154"/>
    <x v="4"/>
    <s v="Power"/>
    <s v="C"/>
    <x v="120"/>
    <s v="Piad"/>
    <s v="Peter"/>
    <x v="1"/>
    <n v="96638"/>
  </r>
  <r>
    <n v="155"/>
    <x v="3"/>
    <s v="Rent"/>
    <s v="Q"/>
    <x v="68"/>
    <s v="Piad"/>
    <s v="Njeri"/>
    <x v="0"/>
    <n v="76245"/>
  </r>
  <r>
    <n v="156"/>
    <x v="1"/>
    <s v="Levy"/>
    <s v="S"/>
    <x v="121"/>
    <s v="Piad"/>
    <s v="Peninah"/>
    <x v="1"/>
    <n v="93154"/>
  </r>
  <r>
    <n v="157"/>
    <x v="6"/>
    <s v="Water"/>
    <s v="Z"/>
    <x v="103"/>
    <s v="Piad"/>
    <s v="Vero"/>
    <x v="0"/>
    <n v="85430"/>
  </r>
  <r>
    <n v="158"/>
    <x v="1"/>
    <s v="Power"/>
    <s v="D"/>
    <x v="91"/>
    <s v="Piad"/>
    <s v="Mercy"/>
    <x v="1"/>
    <n v="82221"/>
  </r>
  <r>
    <n v="159"/>
    <x v="6"/>
    <s v="Rent"/>
    <s v="S"/>
    <x v="122"/>
    <s v="Piad"/>
    <s v="Nancy"/>
    <x v="0"/>
    <n v="97065"/>
  </r>
  <r>
    <n v="160"/>
    <x v="3"/>
    <s v="Levy"/>
    <s v="V"/>
    <x v="123"/>
    <s v="Piad"/>
    <s v="Peter"/>
    <x v="1"/>
    <n v="92867"/>
  </r>
  <r>
    <n v="161"/>
    <x v="4"/>
    <s v="Water"/>
    <s v="Z"/>
    <x v="24"/>
    <s v="Piad"/>
    <s v="Njeri"/>
    <x v="0"/>
    <n v="77600"/>
  </r>
  <r>
    <n v="162"/>
    <x v="3"/>
    <s v="Power"/>
    <s v="D"/>
    <x v="124"/>
    <s v="Piad"/>
    <s v="Peninah"/>
    <x v="1"/>
    <n v="78382"/>
  </r>
  <r>
    <n v="163"/>
    <x v="4"/>
    <s v="Rent"/>
    <s v="K"/>
    <x v="125"/>
    <s v="Piad"/>
    <s v="Vero"/>
    <x v="0"/>
    <n v="93061"/>
  </r>
  <r>
    <n v="164"/>
    <x v="8"/>
    <s v="Levy"/>
    <s v="W"/>
    <x v="126"/>
    <s v="Piad"/>
    <s v="Mercy"/>
    <x v="1"/>
    <n v="81246"/>
  </r>
  <r>
    <n v="165"/>
    <x v="5"/>
    <s v="Water"/>
    <s v="Q"/>
    <x v="127"/>
    <s v="Piad"/>
    <s v="Nancy"/>
    <x v="0"/>
    <n v="85499"/>
  </r>
  <r>
    <n v="166"/>
    <x v="4"/>
    <s v="Power"/>
    <s v="B"/>
    <x v="128"/>
    <s v="Piad"/>
    <s v="Peter"/>
    <x v="1"/>
    <n v="74267"/>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5">
  <r>
    <n v="2"/>
    <s v="Wangas"/>
    <x v="0"/>
    <d v="2020-06-24T00:00:00"/>
    <x v="0"/>
    <s v="Veronicah Nanjala"/>
    <n v="5462089463283"/>
    <s v="veronicananjala1@gmail.com"/>
    <s v="Veronicah Nanjala"/>
    <n v="7827516809246"/>
    <s v="veronicananjala1@gmail.com"/>
  </r>
  <r>
    <n v="3"/>
    <s v="Maria "/>
    <x v="1"/>
    <d v="2020-12-21T00:00:00"/>
    <x v="1"/>
    <s v="Lynn Mumia"/>
    <n v="1972986921626"/>
    <s v="veronicananjala1@gmail.com"/>
    <s v="Lynn Mumia"/>
    <n v="4988824369744"/>
    <s v="veronicananjala1@gmail.com"/>
  </r>
  <r>
    <n v="4"/>
    <s v="Sam"/>
    <x v="2"/>
    <d v="2020-10-30T00:00:00"/>
    <x v="2"/>
    <s v="JM"/>
    <n v="8983242482178"/>
    <s v="veronicananjala1@gmail.com"/>
    <s v="JM"/>
    <n v="3296737240979"/>
    <s v="veronicananjala1@gmail.com"/>
  </r>
  <r>
    <n v="5"/>
    <s v="George"/>
    <x v="3"/>
    <d v="2020-03-19T00:00:00"/>
    <x v="3"/>
    <s v="Peter Murua"/>
    <n v="4340833759032"/>
    <s v="veronicananjala1@gmail.com"/>
    <s v="Peter Murua"/>
    <n v="1356656668214"/>
    <s v="veronicananjala1@gmail.com"/>
  </r>
  <r>
    <n v="6"/>
    <s v="Jennifer"/>
    <x v="0"/>
    <d v="2020-04-02T00:00:00"/>
    <x v="0"/>
    <s v="Mama Valentine"/>
    <n v="1274574535982"/>
    <s v="veronicananjala1@gmail.com"/>
    <s v="Mama Valentine"/>
    <n v="5957416238633"/>
    <s v="veronicananjala1@gmail.com"/>
  </r>
  <r>
    <n v="7"/>
    <s v="Sam"/>
    <x v="4"/>
    <d v="2020-05-14T00:00:00"/>
    <x v="1"/>
    <s v="Mary Jame"/>
    <n v="5814285286776"/>
    <s v="veronicananjala1@gmail.com"/>
    <s v="Mary Jame"/>
    <n v="7943966218237"/>
    <s v="veronicananjala1@gmail.com"/>
  </r>
  <r>
    <n v="8"/>
    <s v="JM "/>
    <x v="1"/>
    <d v="2020-08-08T00:00:00"/>
    <x v="2"/>
    <s v="Nancy Macharia"/>
    <n v="3258680598978"/>
    <s v="veronicananjala1@gmail.com"/>
    <s v="Nancy Macharia"/>
    <n v="7578720212686"/>
    <s v="veronicananjala1@gmail.com"/>
  </r>
  <r>
    <n v="9"/>
    <s v="Wangas"/>
    <x v="2"/>
    <d v="2020-08-25T00:00:00"/>
    <x v="3"/>
    <s v="Veronicah Nanjala"/>
    <n v="3477896954325"/>
    <s v="veronicananjala1@gmail.com"/>
    <s v="Veronicah Nanjala"/>
    <n v="3647219513414"/>
    <s v="veronicananjala1@gmail.com"/>
  </r>
  <r>
    <n v="10"/>
    <s v="Maria "/>
    <x v="3"/>
    <d v="2020-05-04T00:00:00"/>
    <x v="0"/>
    <s v="Lynn Mumia"/>
    <n v="2704585392300"/>
    <s v="veronicananjala1@gmail.com"/>
    <s v="Lynn Mumia"/>
    <n v="7239651135665"/>
    <s v="veronicananjala1@gmail.com"/>
  </r>
  <r>
    <n v="11"/>
    <s v="MariAnn"/>
    <x v="0"/>
    <d v="2021-12-02T00:00:00"/>
    <x v="3"/>
    <s v="Veronicah Nanjala"/>
    <n v="254726612495"/>
    <s v="veronicananjala@centum.com"/>
    <s v="Mercy Atieno"/>
    <n v="254726612495"/>
    <s v="veronicananjala@centum.com"/>
  </r>
  <r>
    <n v="12"/>
    <s v="Matt"/>
    <x v="4"/>
    <d v="2020-11-01T00:00:00"/>
    <x v="2"/>
    <s v="Peter Murua"/>
    <n v="2865360883204"/>
    <s v="veronicananjala1@gmail.com"/>
    <s v="Peter Murua"/>
    <n v="1204501502501"/>
    <s v="veronicananjala1@gmail.com"/>
  </r>
  <r>
    <n v="13"/>
    <s v="Jennifer"/>
    <x v="1"/>
    <d v="2020-03-06T00:00:00"/>
    <x v="3"/>
    <s v="Mama Valentine"/>
    <n v="229207023010"/>
    <s v="veronicananjala1@gmail.com"/>
    <s v="Mama Valentine"/>
    <n v="1772104848081"/>
    <s v="veronicananjala1@gmail.com"/>
  </r>
  <r>
    <n v="14"/>
    <s v="Ann"/>
    <x v="2"/>
    <d v="2020-06-15T00:00:00"/>
    <x v="0"/>
    <s v="Mary Jame"/>
    <n v="6948399082444"/>
    <s v="veronicananjala1@gmail.com"/>
    <s v="Mary Jame"/>
    <n v="3377742459732"/>
    <s v="veronicananjala1@gmail.com"/>
  </r>
  <r>
    <n v="15"/>
    <s v="JM "/>
    <x v="3"/>
    <d v="2020-03-24T00:00:00"/>
    <x v="1"/>
    <s v="Nancy Macharia"/>
    <n v="531068473110"/>
    <s v="veronicananjala1@gmail.com"/>
    <s v="Nancy Macharia"/>
    <n v="7369897570834"/>
    <s v="veronicananjala1@gmail.com"/>
  </r>
  <r>
    <n v="16"/>
    <s v="Wangas"/>
    <x v="0"/>
    <d v="2020-08-13T00:00:00"/>
    <x v="2"/>
    <s v="Veronicah Nanjala"/>
    <n v="6660891030342"/>
    <s v="veronicananjala1@gmail.com"/>
    <s v="Veronicah Nanjala"/>
    <n v="3190290355645"/>
    <s v="veronicananjala1@gmail.com"/>
  </r>
  <r>
    <n v="17"/>
    <s v="Maria "/>
    <x v="4"/>
    <d v="2020-10-19T00:00:00"/>
    <x v="3"/>
    <s v="Lynn Mumia"/>
    <n v="1696674454812"/>
    <s v="veronicananjala1@gmail.com"/>
    <s v="Lynn Mumia"/>
    <n v="3179757199022"/>
    <s v="veronicananjala1@gmail.com"/>
  </r>
  <r>
    <n v="18"/>
    <s v="Sam"/>
    <x v="1"/>
    <d v="2020-12-19T00:00:00"/>
    <x v="0"/>
    <s v="JM"/>
    <n v="6853482594143"/>
    <s v="veronicananjala1@gmail.com"/>
    <s v="JM"/>
    <n v="1668657770209"/>
    <s v="veronicananjala1@gmail.com"/>
  </r>
  <r>
    <n v="19"/>
    <s v="George"/>
    <x v="2"/>
    <d v="2020-03-05T00:00:00"/>
    <x v="1"/>
    <s v="Peter Murua"/>
    <n v="3871363397974"/>
    <s v="veronicananjala1@gmail.com"/>
    <s v="Peter Murua"/>
    <n v="8432266400717"/>
    <s v="veronicananjala1@gmail.com"/>
  </r>
  <r>
    <n v="20"/>
    <s v="George"/>
    <x v="3"/>
    <d v="2020-10-05T00:00:00"/>
    <x v="2"/>
    <s v="Mama Valentine"/>
    <n v="6547054760873"/>
    <s v="veronicananjala1@gmail.com"/>
    <s v="Mama Valentine"/>
    <n v="6336010149363"/>
    <s v="veronicananjala1@gmail.com"/>
  </r>
  <r>
    <n v="21"/>
    <s v="Ann"/>
    <x v="0"/>
    <d v="2020-09-23T00:00:00"/>
    <x v="3"/>
    <s v="Mary Jame"/>
    <n v="7647323452709"/>
    <s v="veronicananjala1@gmail.com"/>
    <s v="Mary Jame"/>
    <n v="1144291803116"/>
    <s v="veronicananjala1@gmail.com"/>
  </r>
  <r>
    <n v="22"/>
    <s v="JM "/>
    <x v="4"/>
    <d v="2020-07-07T00:00:00"/>
    <x v="0"/>
    <s v="Nancy Macharia"/>
    <n v="6331113984494"/>
    <s v="veronicananjala1@gmail.com"/>
    <s v="Nancy Macharia"/>
    <n v="6907015365448"/>
    <s v="veronicananjala1@gmail.com"/>
  </r>
  <r>
    <n v="23"/>
    <s v="Wangas"/>
    <x v="1"/>
    <d v="2020-02-05T00:00:00"/>
    <x v="1"/>
    <s v="Veronicah Nanjala"/>
    <n v="1312293549997"/>
    <s v="veronicananjala1@gmail.com"/>
    <s v="Veronicah Nanjala"/>
    <n v="8900620411641"/>
    <s v="veronicananjala1@gmail.com"/>
  </r>
  <r>
    <n v="24"/>
    <s v="Maria "/>
    <x v="2"/>
    <d v="2020-05-05T00:00:00"/>
    <x v="2"/>
    <s v="Lynn Mumia"/>
    <n v="7854922415621"/>
    <s v="veronicananjala1@gmail.com"/>
    <s v="Lynn Mumia"/>
    <n v="6540879047448"/>
    <s v="veronicananjala1@gmail.com"/>
  </r>
  <r>
    <n v="25"/>
    <s v="George"/>
    <x v="3"/>
    <d v="2020-06-23T00:00:00"/>
    <x v="3"/>
    <s v="JM"/>
    <n v="7769720638592"/>
    <s v="veronicananjala1@gmail.com"/>
    <s v="JM"/>
    <n v="8881525249795"/>
    <s v="veronicananjala1@gmail.com"/>
  </r>
  <r>
    <n v="26"/>
    <s v="Matt"/>
    <x v="0"/>
    <d v="2020-01-31T00:00:00"/>
    <x v="0"/>
    <s v="Peter Murua"/>
    <n v="2861210664873"/>
    <s v="veronicananjala1@gmail.com"/>
    <s v="Peter Murua"/>
    <n v="6219992683670"/>
    <s v="veronicananjala1@gmail.com"/>
  </r>
  <r>
    <n v="27"/>
    <s v="Matt"/>
    <x v="4"/>
    <d v="2020-04-22T00:00:00"/>
    <x v="1"/>
    <s v="Mama Valentine"/>
    <n v="1350579003488"/>
    <s v="veronicananjala1@gmail.com"/>
    <s v="Mama Valentine"/>
    <n v="3961960867810"/>
    <s v="veronicananjala1@gmail.com"/>
  </r>
  <r>
    <n v="28"/>
    <s v="George"/>
    <x v="1"/>
    <d v="2020-11-27T00:00:00"/>
    <x v="2"/>
    <s v="Mary Jame"/>
    <n v="372050924315"/>
    <s v="veronicananjala1@gmail.com"/>
    <s v="Mary Jame"/>
    <n v="5111529340260"/>
    <s v="veronicananjala1@gmail.com"/>
  </r>
  <r>
    <n v="29"/>
    <s v="JM "/>
    <x v="2"/>
    <d v="2020-03-06T00:00:00"/>
    <x v="3"/>
    <s v="Nancy Macharia"/>
    <n v="296067012997"/>
    <s v="veronicananjala1@gmail.com"/>
    <s v="Nancy Macharia"/>
    <n v="4260273269229"/>
    <s v="veronicananjala1@gmail.com"/>
  </r>
  <r>
    <n v="30"/>
    <s v="Wangas"/>
    <x v="3"/>
    <d v="2020-12-20T00:00:00"/>
    <x v="0"/>
    <s v="Veronicah Nanjala"/>
    <n v="6214620829462"/>
    <s v="veronicananjala1@gmail.com"/>
    <s v="Veronicah Nanjala"/>
    <n v="3415327217677"/>
    <s v="veronicananjala1@gmail.com"/>
  </r>
  <r>
    <n v="31"/>
    <s v="Maria "/>
    <x v="0"/>
    <d v="2020-07-31T00:00:00"/>
    <x v="1"/>
    <s v="Lynn Mumia"/>
    <n v="2691173002073"/>
    <s v="veronicananjala1@gmail.com"/>
    <s v="Lynn Mumia"/>
    <n v="8493691988898"/>
    <s v="veronicananjala1@gmail.com"/>
  </r>
  <r>
    <n v="32"/>
    <s v="Ann"/>
    <x v="4"/>
    <d v="2020-03-08T00:00:00"/>
    <x v="2"/>
    <s v="JM"/>
    <n v="1861997212287"/>
    <s v="veronicananjala1@gmail.com"/>
    <s v="JM"/>
    <n v="6065969393946"/>
    <s v="veronicananjala1@gmail.com"/>
  </r>
  <r>
    <n v="33"/>
    <s v="Ann"/>
    <x v="1"/>
    <d v="2020-02-17T00:00:00"/>
    <x v="3"/>
    <s v="Peter Murua"/>
    <n v="8841492165591"/>
    <s v="veronicananjala1@gmail.com"/>
    <s v="Peter Murua"/>
    <n v="3560517906279"/>
    <s v="veronicananjala1@gmail.com"/>
  </r>
  <r>
    <n v="34"/>
    <s v="Sam"/>
    <x v="2"/>
    <d v="2020-08-18T00:00:00"/>
    <x v="0"/>
    <s v="Mama Valentine"/>
    <n v="8536854248467"/>
    <s v="veronicananjala1@gmail.com"/>
    <s v="Mama Valentine"/>
    <n v="4356014839792"/>
    <s v="veronicananjala1@gmail.com"/>
  </r>
  <r>
    <n v="35"/>
    <s v="Sam"/>
    <x v="3"/>
    <d v="2020-10-24T00:00:00"/>
    <x v="1"/>
    <s v="Mary Jame"/>
    <n v="2924632952689"/>
    <s v="veronicananjala1@gmail.com"/>
    <s v="Mary Jame"/>
    <n v="8164334997621"/>
    <s v="veronicananjala1@gmail.com"/>
  </r>
  <r>
    <n v="36"/>
    <s v="JM "/>
    <x v="0"/>
    <d v="2020-08-22T00:00:00"/>
    <x v="2"/>
    <s v="Nancy Macharia"/>
    <n v="8033313549835"/>
    <s v="veronicananjala1@gmail.com"/>
    <s v="Nancy Macharia"/>
    <n v="7392196972753"/>
    <s v="veronicananjala1@gmail.com"/>
  </r>
  <r>
    <n v="37"/>
    <s v="Wangas"/>
    <x v="4"/>
    <d v="2020-05-14T00:00:00"/>
    <x v="3"/>
    <s v="Veronicah Nanjala"/>
    <n v="3273790019699"/>
    <s v="veronicananjala1@gmail.com"/>
    <s v="Veronicah Nanjala"/>
    <n v="1490311843920"/>
    <s v="veronicananjala1@gmail.com"/>
  </r>
  <r>
    <n v="38"/>
    <s v="Maria "/>
    <x v="1"/>
    <d v="2020-03-06T00:00:00"/>
    <x v="0"/>
    <s v="Lynn Mumia"/>
    <n v="2329220765552"/>
    <s v="veronicananjala1@gmail.com"/>
    <s v="Lynn Mumia"/>
    <n v="8487422556114"/>
    <s v="veronicananjala1@gmail.com"/>
  </r>
  <r>
    <n v="39"/>
    <s v="Jennifer"/>
    <x v="2"/>
    <d v="2020-07-09T00:00:00"/>
    <x v="1"/>
    <s v="JM"/>
    <n v="8520496509843"/>
    <s v="veronicananjala1@gmail.com"/>
    <s v="JM"/>
    <n v="1357131517784"/>
    <s v="veronicananjala1@gmail.com"/>
  </r>
  <r>
    <n v="40"/>
    <s v="Sam"/>
    <x v="3"/>
    <d v="2020-07-25T00:00:00"/>
    <x v="2"/>
    <s v="Peter Murua"/>
    <n v="7426394763192"/>
    <s v="veronicananjala1@gmail.com"/>
    <s v="Peter Murua"/>
    <n v="382189858258"/>
    <s v="veronicananjala1@gmail.com"/>
  </r>
  <r>
    <n v="41"/>
    <s v="Matt"/>
    <x v="0"/>
    <d v="2020-08-23T00:00:00"/>
    <x v="3"/>
    <s v="Mama Valentine"/>
    <n v="7649060199966"/>
    <s v="veronicananjala1@gmail.com"/>
    <s v="Mama Valentine"/>
    <n v="3071510854062"/>
    <s v="veronicananjala1@gmail.com"/>
  </r>
  <r>
    <n v="42"/>
    <s v="Matt"/>
    <x v="4"/>
    <d v="2020-02-24T00:00:00"/>
    <x v="0"/>
    <s v="Mary Jame"/>
    <n v="8944068978599"/>
    <s v="veronicananjala1@gmail.com"/>
    <s v="Mary Jame"/>
    <n v="358077702479"/>
    <s v="veronicananjala1@gmail.com"/>
  </r>
  <r>
    <n v="43"/>
    <s v="JM "/>
    <x v="1"/>
    <d v="2020-03-28T00:00:00"/>
    <x v="1"/>
    <s v="Nancy Macharia"/>
    <n v="3331323105723"/>
    <s v="veronicananjala1@gmail.com"/>
    <s v="Nancy Macharia"/>
    <n v="5357088787551"/>
    <s v="veronicananjala1@gmail.com"/>
  </r>
  <r>
    <n v="44"/>
    <s v="Wangas"/>
    <x v="2"/>
    <d v="2020-12-14T00:00:00"/>
    <x v="2"/>
    <s v="Veronicah Nanjala"/>
    <n v="3706530274807"/>
    <s v="veronicananjala1@gmail.com"/>
    <s v="Veronicah Nanjala"/>
    <n v="8822995682821"/>
    <s v="veronicananjala1@gmail.com"/>
  </r>
  <r>
    <n v="45"/>
    <s v="Maria "/>
    <x v="3"/>
    <d v="2020-01-24T00:00:00"/>
    <x v="3"/>
    <s v="Lynn Mumia"/>
    <n v="6244159221057"/>
    <s v="veronicananjala1@gmail.com"/>
    <s v="Lynn Mumia"/>
    <n v="8909676723584"/>
    <s v="veronicananjala1@gmail.com"/>
  </r>
  <r>
    <n v="46"/>
    <s v="Jennifer"/>
    <x v="0"/>
    <d v="2020-05-10T00:00:00"/>
    <x v="0"/>
    <s v="JM"/>
    <n v="7521632364735"/>
    <s v="veronicananjala1@gmail.com"/>
    <s v="JM"/>
    <n v="967805948946"/>
    <s v="veronicananjala1@gmail.com"/>
  </r>
  <r>
    <n v="47"/>
    <s v="Sam"/>
    <x v="4"/>
    <d v="2020-01-26T00:00:00"/>
    <x v="1"/>
    <s v="Peter Murua"/>
    <n v="527366937391"/>
    <s v="veronicananjala1@gmail.com"/>
    <s v="Peter Murua"/>
    <n v="4242358200000"/>
    <s v="veronicananjala1@gmail.com"/>
  </r>
  <r>
    <n v="48"/>
    <s v="Ann"/>
    <x v="1"/>
    <d v="2020-11-24T00:00:00"/>
    <x v="2"/>
    <s v="Mama Valentine"/>
    <n v="5246140228700"/>
    <s v="veronicananjala1@gmail.com"/>
    <s v="Mama Valentine"/>
    <n v="6109171090238"/>
    <s v="veronicananjala1@gmail.com"/>
  </r>
  <r>
    <n v="49"/>
    <s v="Sam"/>
    <x v="2"/>
    <d v="2020-09-27T00:00:00"/>
    <x v="3"/>
    <s v="Mary Jame"/>
    <n v="5739752008453"/>
    <s v="veronicananjala1@gmail.com"/>
    <s v="Mary Jame"/>
    <n v="635871818499"/>
    <s v="veronicananjala1@gmail.com"/>
  </r>
  <r>
    <n v="50"/>
    <s v="JM "/>
    <x v="3"/>
    <d v="2020-03-17T00:00:00"/>
    <x v="0"/>
    <s v="Nancy Macharia"/>
    <n v="5792970140009"/>
    <s v="veronicananjala1@gmail.com"/>
    <s v="Nancy Macharia"/>
    <n v="6117776545004"/>
    <s v="veronicananjala1@gmail.com"/>
  </r>
  <r>
    <n v="51"/>
    <s v="Wangas"/>
    <x v="0"/>
    <d v="2020-02-07T00:00:00"/>
    <x v="1"/>
    <s v="Veronicah Nanjala"/>
    <n v="3316088499502"/>
    <s v="veronicananjala1@gmail.com"/>
    <s v="Veronicah Nanjala"/>
    <n v="7909214469705"/>
    <s v="veronicananjala1@gmail.com"/>
  </r>
  <r>
    <n v="52"/>
    <s v="Maria "/>
    <x v="4"/>
    <d v="2020-06-14T00:00:00"/>
    <x v="2"/>
    <s v="Lynn Mumia"/>
    <n v="3273489420608"/>
    <s v="veronicananjala1@gmail.com"/>
    <s v="Lynn Mumia"/>
    <n v="224193790792"/>
    <s v="veronicananjala1@gmail.com"/>
  </r>
  <r>
    <n v="53"/>
    <s v="Sam"/>
    <x v="1"/>
    <d v="2020-05-25T00:00:00"/>
    <x v="3"/>
    <s v="JM"/>
    <n v="3600083139368"/>
    <s v="veronicananjala1@gmail.com"/>
    <s v="JM"/>
    <n v="2229470535562"/>
    <s v="veronicananjala1@gmail.com"/>
  </r>
  <r>
    <n v="54"/>
    <s v="Matt"/>
    <x v="2"/>
    <d v="2020-08-09T00:00:00"/>
    <x v="0"/>
    <s v="Peter Murua"/>
    <n v="3951864971400"/>
    <s v="veronicananjala1@gmail.com"/>
    <s v="Peter Murua"/>
    <n v="1605066904344"/>
    <s v="veronicananjala1@gmail.com"/>
  </r>
  <r>
    <n v="55"/>
    <s v="Sam"/>
    <x v="3"/>
    <d v="2020-12-05T00:00:00"/>
    <x v="1"/>
    <s v="Mama Valentine"/>
    <n v="4914702020564"/>
    <s v="veronicananjala1@gmail.com"/>
    <s v="Mama Valentine"/>
    <n v="8232609297809"/>
    <s v="veronicananjala1@gmail.com"/>
  </r>
  <r>
    <n v="56"/>
    <s v="Jennifer"/>
    <x v="0"/>
    <d v="2020-02-08T00:00:00"/>
    <x v="2"/>
    <s v="Mary Jame"/>
    <n v="7198947731667"/>
    <s v="veronicananjala1@gmail.com"/>
    <s v="Mary Jame"/>
    <n v="8224879285724"/>
    <s v="veronicananjala1@gmail.com"/>
  </r>
  <r>
    <n v="57"/>
    <s v="JM "/>
    <x v="4"/>
    <d v="2020-04-09T00:00:00"/>
    <x v="3"/>
    <s v="Nancy Macharia"/>
    <n v="791138374502"/>
    <s v="veronicananjala1@gmail.com"/>
    <s v="Nancy Macharia"/>
    <n v="6180189301709"/>
    <s v="veronicananjala1@gmail.com"/>
  </r>
  <r>
    <n v="58"/>
    <s v="Wangas"/>
    <x v="1"/>
    <d v="2020-02-13T00:00:00"/>
    <x v="0"/>
    <s v="Veronicah Nanjala"/>
    <n v="1248893481420"/>
    <s v="veronicananjala1@gmail.com"/>
    <s v="Veronicah Nanjala"/>
    <n v="8286271344875"/>
    <s v="veronicananjala1@gmail.com"/>
  </r>
  <r>
    <n v="59"/>
    <s v="Maria "/>
    <x v="2"/>
    <d v="2020-08-01T00:00:00"/>
    <x v="1"/>
    <s v="Lynn Mumia"/>
    <n v="3359211404156"/>
    <s v="veronicananjala1@gmail.com"/>
    <s v="Lynn Mumia"/>
    <n v="2776343345206"/>
    <s v="veronicananjala1@gmail.com"/>
  </r>
  <r>
    <n v="60"/>
    <s v="Jennifer"/>
    <x v="3"/>
    <d v="2020-02-15T00:00:00"/>
    <x v="2"/>
    <s v="JM"/>
    <n v="5830505443552"/>
    <s v="veronicananjala1@gmail.com"/>
    <s v="JM"/>
    <n v="2642559099230"/>
    <s v="veronicananjala1@gmail.com"/>
  </r>
  <r>
    <n v="61"/>
    <s v="Sam"/>
    <x v="0"/>
    <d v="2020-04-10T00:00:00"/>
    <x v="3"/>
    <s v="Peter Murua"/>
    <n v="5807203582506"/>
    <s v="veronicananjala1@gmail.com"/>
    <s v="Peter Murua"/>
    <n v="4682780812756"/>
    <s v="veronicananjala1@gmail.com"/>
  </r>
  <r>
    <n v="62"/>
    <s v="Jennifer"/>
    <x v="4"/>
    <d v="2020-09-23T00:00:00"/>
    <x v="0"/>
    <s v="Mama Valentine"/>
    <n v="2729334109840"/>
    <s v="veronicananjala1@gmail.com"/>
    <s v="Mama Valentine"/>
    <n v="1427888268857"/>
    <s v="veronicananjala1@gmail.com"/>
  </r>
  <r>
    <n v="63"/>
    <s v="Sam"/>
    <x v="1"/>
    <d v="2020-10-12T00:00:00"/>
    <x v="1"/>
    <s v="Mary Jame"/>
    <n v="2001956250444"/>
    <s v="veronicananjala1@gmail.com"/>
    <s v="Mary Jame"/>
    <n v="3308741817619"/>
    <s v="veronicananjala1@gmail.com"/>
  </r>
  <r>
    <n v="64"/>
    <s v="JM "/>
    <x v="2"/>
    <d v="2020-01-06T00:00:00"/>
    <x v="2"/>
    <s v="Nancy Macharia"/>
    <n v="4495186599833"/>
    <s v="veronicananjala1@gmail.com"/>
    <s v="Nancy Macharia"/>
    <n v="3155106717903"/>
    <s v="veronicananjala1@gmail.com"/>
  </r>
  <r>
    <n v="65"/>
    <s v="Wangas"/>
    <x v="3"/>
    <d v="2020-04-21T00:00:00"/>
    <x v="3"/>
    <s v="Veronicah Nanjala"/>
    <n v="6489031451101"/>
    <s v="veronicananjala1@gmail.com"/>
    <s v="Veronicah Nanjala"/>
    <n v="7705145283074"/>
    <s v="veronicananjala1@gmail.com"/>
  </r>
  <r>
    <n v="66"/>
    <s v="Maria "/>
    <x v="0"/>
    <d v="2020-12-24T00:00:00"/>
    <x v="0"/>
    <s v="Lynn Mumia"/>
    <n v="5298161332855"/>
    <s v="veronicananjala1@gmail.com"/>
    <s v="Lynn Mumia"/>
    <n v="4252758667596"/>
    <s v="veronicananjala1@gmail.com"/>
  </r>
  <r>
    <n v="67"/>
    <s v="Matt"/>
    <x v="4"/>
    <d v="2020-05-09T00:00:00"/>
    <x v="1"/>
    <s v="JM"/>
    <n v="6854710534919"/>
    <s v="veronicananjala1@gmail.com"/>
    <s v="JM"/>
    <n v="3232289698095"/>
    <s v="veronicananjala1@gmail.com"/>
  </r>
  <r>
    <n v="68"/>
    <s v="Sam"/>
    <x v="1"/>
    <d v="2020-05-14T00:00:00"/>
    <x v="2"/>
    <s v="Peter Murua"/>
    <n v="6568328792543"/>
    <s v="veronicananjala1@gmail.com"/>
    <s v="Peter Murua"/>
    <n v="2952057339393"/>
    <s v="veronicananjala1@gmail.com"/>
  </r>
  <r>
    <n v="69"/>
    <s v="Sam"/>
    <x v="2"/>
    <d v="2020-12-23T00:00:00"/>
    <x v="3"/>
    <s v="Mama Valentine"/>
    <n v="3351827479671"/>
    <s v="veronicananjala1@gmail.com"/>
    <s v="Mama Valentine"/>
    <n v="2840061373207"/>
    <s v="veronicananjala1@gmail.com"/>
  </r>
  <r>
    <n v="70"/>
    <s v="Ann"/>
    <x v="3"/>
    <d v="2020-05-21T00:00:00"/>
    <x v="0"/>
    <s v="Mary Jame"/>
    <n v="5979893840801"/>
    <s v="veronicananjala1@gmail.com"/>
    <s v="Mary Jame"/>
    <n v="6926067170429"/>
    <s v="veronicananjala1@gmail.com"/>
  </r>
  <r>
    <n v="71"/>
    <s v="JM "/>
    <x v="0"/>
    <d v="2020-12-30T00:00:00"/>
    <x v="1"/>
    <s v="Nancy Macharia"/>
    <n v="1573281359551"/>
    <s v="veronicananjala1@gmail.com"/>
    <s v="Nancy Macharia"/>
    <n v="459382049069"/>
    <s v="veronicananjala1@gmail.com"/>
  </r>
  <r>
    <n v="72"/>
    <s v="Wangas"/>
    <x v="4"/>
    <d v="2020-03-03T00:00:00"/>
    <x v="2"/>
    <s v="Veronicah Nanjala"/>
    <n v="1437698981965"/>
    <s v="veronicananjala1@gmail.com"/>
    <s v="Veronicah Nanjala"/>
    <n v="6757842802852"/>
    <s v="veronicananjala1@gmail.com"/>
  </r>
  <r>
    <n v="73"/>
    <s v="Maria "/>
    <x v="1"/>
    <d v="2020-08-23T00:00:00"/>
    <x v="3"/>
    <s v="Lynn Mumia"/>
    <n v="5599709261267"/>
    <s v="veronicananjala1@gmail.com"/>
    <s v="Lynn Mumia"/>
    <n v="6228723500254"/>
    <s v="veronicananjala1@gmail.com"/>
  </r>
  <r>
    <n v="74"/>
    <s v="George"/>
    <x v="2"/>
    <d v="2020-08-29T00:00:00"/>
    <x v="0"/>
    <s v="JM"/>
    <n v="8601899459490"/>
    <s v="veronicananjala1@gmail.com"/>
    <s v="JM"/>
    <n v="2153565005249"/>
    <s v="veronicananjala1@gmail.com"/>
  </r>
  <r>
    <n v="75"/>
    <s v="Ann"/>
    <x v="3"/>
    <d v="2020-01-11T00:00:00"/>
    <x v="1"/>
    <s v="Peter Murua"/>
    <n v="5472897129792"/>
    <s v="veronicananjala1@gmail.com"/>
    <s v="Peter Murua"/>
    <n v="418320193751"/>
    <s v="veronicananjala1@gmail.com"/>
  </r>
  <r>
    <n v="76"/>
    <s v="Matt"/>
    <x v="0"/>
    <d v="2020-03-29T00:00:00"/>
    <x v="2"/>
    <s v="Mama Valentine"/>
    <n v="6854421597248"/>
    <s v="veronicananjala1@gmail.com"/>
    <s v="Mama Valentine"/>
    <n v="5358236563337"/>
    <s v="veronicananjala1@gmail.co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D942D16-8F20-4F0A-B0DA-00C8351BCD8A}" name="PivotTable15" cacheId="2390"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 colHeaderCaption="">
  <location ref="L20:N27" firstHeaderRow="1" firstDataRow="2" firstDataCol="1"/>
  <pivotFields count="9">
    <pivotField showAll="0"/>
    <pivotField axis="axisRow" showAll="0">
      <items count="10">
        <item x="8"/>
        <item x="4"/>
        <item x="1"/>
        <item x="3"/>
        <item x="5"/>
        <item x="7"/>
        <item x="2"/>
        <item x="0"/>
        <item x="6"/>
        <item t="default"/>
      </items>
    </pivotField>
    <pivotField showAll="0"/>
    <pivotField showAll="0"/>
    <pivotField numFmtId="165" showAll="0">
      <items count="135">
        <item x="123"/>
        <item x="122"/>
        <item x="96"/>
        <item x="88"/>
        <item x="47"/>
        <item x="100"/>
        <item x="80"/>
        <item x="104"/>
        <item x="58"/>
        <item x="17"/>
        <item x="34"/>
        <item x="97"/>
        <item x="20"/>
        <item x="0"/>
        <item x="126"/>
        <item x="83"/>
        <item x="82"/>
        <item x="73"/>
        <item x="99"/>
        <item x="81"/>
        <item x="30"/>
        <item x="71"/>
        <item x="25"/>
        <item x="48"/>
        <item x="129"/>
        <item x="64"/>
        <item x="133"/>
        <item x="106"/>
        <item x="76"/>
        <item x="121"/>
        <item x="103"/>
        <item x="91"/>
        <item x="59"/>
        <item x="27"/>
        <item x="112"/>
        <item x="79"/>
        <item x="15"/>
        <item x="5"/>
        <item x="127"/>
        <item x="55"/>
        <item x="22"/>
        <item x="53"/>
        <item x="42"/>
        <item x="63"/>
        <item x="75"/>
        <item x="72"/>
        <item x="84"/>
        <item x="70"/>
        <item x="120"/>
        <item x="49"/>
        <item x="92"/>
        <item x="46"/>
        <item x="28"/>
        <item x="114"/>
        <item x="118"/>
        <item x="116"/>
        <item x="111"/>
        <item x="45"/>
        <item x="52"/>
        <item x="41"/>
        <item x="68"/>
        <item x="102"/>
        <item x="131"/>
        <item x="130"/>
        <item x="125"/>
        <item x="109"/>
        <item x="6"/>
        <item x="35"/>
        <item x="69"/>
        <item x="4"/>
        <item x="51"/>
        <item x="98"/>
        <item x="124"/>
        <item x="2"/>
        <item x="50"/>
        <item x="1"/>
        <item x="33"/>
        <item x="9"/>
        <item x="117"/>
        <item x="87"/>
        <item x="13"/>
        <item x="128"/>
        <item x="105"/>
        <item x="74"/>
        <item x="23"/>
        <item x="18"/>
        <item x="24"/>
        <item x="94"/>
        <item x="21"/>
        <item x="7"/>
        <item x="36"/>
        <item x="31"/>
        <item x="65"/>
        <item x="32"/>
        <item x="93"/>
        <item x="26"/>
        <item x="14"/>
        <item x="39"/>
        <item x="57"/>
        <item x="11"/>
        <item x="54"/>
        <item x="115"/>
        <item x="62"/>
        <item x="19"/>
        <item x="60"/>
        <item x="61"/>
        <item x="8"/>
        <item x="16"/>
        <item x="38"/>
        <item x="132"/>
        <item x="113"/>
        <item x="89"/>
        <item x="90"/>
        <item x="101"/>
        <item x="10"/>
        <item x="43"/>
        <item x="40"/>
        <item x="77"/>
        <item x="66"/>
        <item x="110"/>
        <item x="3"/>
        <item x="78"/>
        <item x="56"/>
        <item x="95"/>
        <item x="12"/>
        <item x="44"/>
        <item x="67"/>
        <item x="107"/>
        <item x="29"/>
        <item x="37"/>
        <item x="85"/>
        <item x="108"/>
        <item x="119"/>
        <item x="86"/>
        <item t="default"/>
      </items>
    </pivotField>
    <pivotField showAll="0"/>
    <pivotField showAll="0"/>
    <pivotField axis="axisCol" showAll="0">
      <items count="3">
        <item x="0"/>
        <item x="1"/>
        <item t="default"/>
      </items>
    </pivotField>
    <pivotField dataField="1" numFmtId="167" showAll="0">
      <items count="166">
        <item x="140"/>
        <item x="160"/>
        <item x="29"/>
        <item x="132"/>
        <item x="80"/>
        <item x="32"/>
        <item x="30"/>
        <item x="82"/>
        <item x="120"/>
        <item x="133"/>
        <item x="22"/>
        <item x="20"/>
        <item x="84"/>
        <item x="63"/>
        <item x="0"/>
        <item x="71"/>
        <item x="148"/>
        <item x="113"/>
        <item x="67"/>
        <item x="39"/>
        <item x="10"/>
        <item x="134"/>
        <item x="61"/>
        <item x="141"/>
        <item x="50"/>
        <item x="40"/>
        <item x="112"/>
        <item x="159"/>
        <item x="3"/>
        <item x="86"/>
        <item x="64"/>
        <item x="51"/>
        <item x="17"/>
        <item x="114"/>
        <item x="79"/>
        <item x="45"/>
        <item x="142"/>
        <item x="16"/>
        <item x="147"/>
        <item x="5"/>
        <item x="103"/>
        <item x="44"/>
        <item x="59"/>
        <item x="34"/>
        <item x="121"/>
        <item x="23"/>
        <item x="91"/>
        <item x="137"/>
        <item x="118"/>
        <item x="62"/>
        <item x="66"/>
        <item x="13"/>
        <item x="76"/>
        <item x="2"/>
        <item x="69"/>
        <item x="97"/>
        <item x="15"/>
        <item x="109"/>
        <item x="31"/>
        <item x="98"/>
        <item x="122"/>
        <item x="54"/>
        <item x="24"/>
        <item x="58"/>
        <item x="136"/>
        <item x="47"/>
        <item x="108"/>
        <item x="152"/>
        <item x="93"/>
        <item x="139"/>
        <item x="102"/>
        <item x="126"/>
        <item x="127"/>
        <item x="123"/>
        <item x="52"/>
        <item x="119"/>
        <item x="18"/>
        <item x="41"/>
        <item x="70"/>
        <item x="78"/>
        <item x="48"/>
        <item x="12"/>
        <item x="57"/>
        <item x="131"/>
        <item x="46"/>
        <item x="124"/>
        <item x="130"/>
        <item x="53"/>
        <item x="135"/>
        <item x="138"/>
        <item x="111"/>
        <item x="125"/>
        <item x="33"/>
        <item x="38"/>
        <item x="27"/>
        <item x="72"/>
        <item x="162"/>
        <item x="6"/>
        <item x="11"/>
        <item x="99"/>
        <item x="164"/>
        <item x="104"/>
        <item x="60"/>
        <item x="94"/>
        <item x="101"/>
        <item x="42"/>
        <item x="43"/>
        <item x="106"/>
        <item x="73"/>
        <item x="77"/>
        <item x="36"/>
        <item x="144"/>
        <item x="155"/>
        <item x="26"/>
        <item x="116"/>
        <item x="115"/>
        <item x="19"/>
        <item x="74"/>
        <item x="68"/>
        <item x="143"/>
        <item x="75"/>
        <item x="163"/>
        <item x="105"/>
        <item x="7"/>
        <item x="161"/>
        <item x="158"/>
        <item x="90"/>
        <item x="107"/>
        <item x="81"/>
        <item x="55"/>
        <item x="100"/>
        <item x="153"/>
        <item x="129"/>
        <item x="49"/>
        <item x="96"/>
        <item x="85"/>
        <item x="149"/>
        <item x="8"/>
        <item x="146"/>
        <item x="37"/>
        <item x="151"/>
        <item x="4"/>
        <item x="150"/>
        <item x="65"/>
        <item x="9"/>
        <item x="25"/>
        <item x="88"/>
        <item x="83"/>
        <item x="92"/>
        <item x="117"/>
        <item x="56"/>
        <item x="89"/>
        <item x="35"/>
        <item x="128"/>
        <item x="14"/>
        <item x="110"/>
        <item x="28"/>
        <item x="21"/>
        <item x="154"/>
        <item x="145"/>
        <item x="156"/>
        <item x="95"/>
        <item x="1"/>
        <item x="157"/>
        <item x="87"/>
        <item t="default"/>
      </items>
    </pivotField>
  </pivotFields>
  <rowFields count="1">
    <field x="1"/>
  </rowFields>
  <rowItems count="6">
    <i>
      <x v="1"/>
    </i>
    <i>
      <x v="2"/>
    </i>
    <i>
      <x v="3"/>
    </i>
    <i>
      <x v="4"/>
    </i>
    <i>
      <x v="6"/>
    </i>
    <i>
      <x v="8"/>
    </i>
  </rowItems>
  <colFields count="1">
    <field x="7"/>
  </colFields>
  <colItems count="2">
    <i>
      <x/>
    </i>
    <i>
      <x v="1"/>
    </i>
  </colItems>
  <dataFields count="1">
    <dataField name="Properties" fld="8" baseField="0" baseItem="0"/>
  </dataFields>
  <formats count="1">
    <format dxfId="1">
      <pivotArea collapsedLevelsAreSubtotals="1" fieldPosition="0">
        <references count="2">
          <reference field="1" count="1">
            <x v="0"/>
          </reference>
          <reference field="7" count="1" selected="0">
            <x v="1"/>
          </reference>
        </references>
      </pivotArea>
    </format>
  </formats>
  <pivotTableStyleInfo name="PivotStyleLight16" showRowHeaders="1" showColHeaders="1" showRowStripes="0" showColStripes="0" showLastColumn="1"/>
  <filters count="1">
    <filter fld="4" type="dateBetween" evalOrder="-1" id="4" name="Date">
      <autoFilter ref="A1">
        <filterColumn colId="0">
          <customFilters and="1">
            <customFilter operator="greaterThanOrEqual" val="43922"/>
            <customFilter operator="lessThanOrEqual" val="43951"/>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DB704DB-1D86-45CB-B747-F3401E936775}" name="PivotTable2" cacheId="2392"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3" rowHeaderCaption="Property Name" colHeaderCaption="Label">
  <location ref="A3:C11" firstHeaderRow="1" firstDataRow="2" firstDataCol="1"/>
  <pivotFields count="12">
    <pivotField showAll="0"/>
    <pivotField axis="axisRow" showAll="0">
      <items count="10">
        <item x="5"/>
        <item x="6"/>
        <item x="4"/>
        <item x="7"/>
        <item x="1"/>
        <item x="8"/>
        <item x="2"/>
        <item x="0"/>
        <item x="3"/>
        <item t="default"/>
      </items>
    </pivotField>
    <pivotField showAll="0"/>
    <pivotField showAll="0"/>
    <pivotField numFmtId="165"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axis="axisCol" showAll="0">
      <items count="3">
        <item x="0"/>
        <item x="1"/>
        <item t="default"/>
      </items>
    </pivotField>
    <pivotField dataField="1" numFmtId="167" showAll="0"/>
    <pivotField showAll="0" defaultSubtotal="0"/>
    <pivotField dragToRow="0" dragToCol="0" dragToPage="0" showAll="0" defaultSubtotal="0"/>
    <pivotField dragToRow="0" dragToCol="0" dragToPage="0" showAll="0" defaultSubtotal="0"/>
  </pivotFields>
  <rowFields count="1">
    <field x="1"/>
  </rowFields>
  <rowItems count="7">
    <i>
      <x/>
    </i>
    <i>
      <x v="1"/>
    </i>
    <i>
      <x v="2"/>
    </i>
    <i>
      <x v="3"/>
    </i>
    <i>
      <x v="4"/>
    </i>
    <i>
      <x v="7"/>
    </i>
    <i>
      <x v="8"/>
    </i>
  </rowItems>
  <colFields count="1">
    <field x="7"/>
  </colFields>
  <colItems count="2">
    <i>
      <x/>
    </i>
    <i>
      <x v="1"/>
    </i>
  </colItems>
  <dataFields count="1">
    <dataField name=" " fld="8" baseField="0" baseItem="0" numFmtId="169"/>
  </dataFields>
  <chartFormats count="3">
    <chartFormat chart="2" format="4" series="1">
      <pivotArea type="data" outline="0" fieldPosition="0">
        <references count="2">
          <reference field="4294967294" count="1" selected="0">
            <x v="0"/>
          </reference>
          <reference field="7" count="1" selected="0">
            <x v="0"/>
          </reference>
        </references>
      </pivotArea>
    </chartFormat>
    <chartFormat chart="2" format="5" series="1">
      <pivotArea type="data" outline="0" fieldPosition="0">
        <references count="2">
          <reference field="4294967294" count="1" selected="0">
            <x v="0"/>
          </reference>
          <reference field="7" count="1" selected="0">
            <x v="1"/>
          </reference>
        </references>
      </pivotArea>
    </chartFormat>
    <chartFormat chart="2" format="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4" type="dateBetween" evalOrder="-1" id="55" name="Date">
      <autoFilter ref="A1">
        <filterColumn colId="0">
          <customFilters and="1">
            <customFilter operator="greaterThanOrEqual" val="43983"/>
            <customFilter operator="lessThanOrEqual" val="44012"/>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99C196D-57CA-493D-B76C-9FC5D244E2DE}" name="PivotTable10" cacheId="2390"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chartFormat="3" rowHeaderCaption="Transaction">
  <location ref="N3:O7" firstHeaderRow="1" firstDataRow="1" firstDataCol="1"/>
  <pivotFields count="9">
    <pivotField showAll="0"/>
    <pivotField showAll="0">
      <items count="10">
        <item h="1" x="8"/>
        <item h="1" x="4"/>
        <item h="1" x="1"/>
        <item x="3"/>
        <item h="1" x="5"/>
        <item h="1" x="7"/>
        <item h="1" x="2"/>
        <item h="1" x="0"/>
        <item h="1" x="6"/>
        <item t="default"/>
      </items>
    </pivotField>
    <pivotField axis="axisRow" showAll="0">
      <items count="5">
        <item x="3"/>
        <item x="1"/>
        <item x="2"/>
        <item x="0"/>
        <item t="default"/>
      </items>
    </pivotField>
    <pivotField showAll="0"/>
    <pivotField numFmtId="165" showAll="0"/>
    <pivotField showAll="0"/>
    <pivotField showAll="0"/>
    <pivotField showAll="0"/>
    <pivotField dataField="1" numFmtId="167" showAll="0"/>
  </pivotFields>
  <rowFields count="1">
    <field x="2"/>
  </rowFields>
  <rowItems count="4">
    <i>
      <x/>
    </i>
    <i>
      <x v="1"/>
    </i>
    <i>
      <x v="2"/>
    </i>
    <i>
      <x v="3"/>
    </i>
  </rowItems>
  <colItems count="1">
    <i/>
  </colItems>
  <dataFields count="1">
    <dataField name="Sum of Amount " fld="8" baseField="0" baseItem="0"/>
  </dataField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EE623D5F-4725-45EA-9AC4-82B118115216}" name="PivotTable6" cacheId="2391"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chartFormat="3" rowHeaderCaption="Units">
  <location ref="H3:L19" firstHeaderRow="1" firstDataRow="2" firstDataCol="1"/>
  <pivotFields count="9">
    <pivotField showAll="0"/>
    <pivotField showAll="0">
      <items count="10">
        <item h="1" x="8"/>
        <item h="1" x="4"/>
        <item h="1" x="1"/>
        <item x="3"/>
        <item h="1" x="5"/>
        <item h="1" x="7"/>
        <item h="1" x="2"/>
        <item h="1" x="0"/>
        <item h="1" x="6"/>
        <item t="default"/>
      </items>
    </pivotField>
    <pivotField axis="axisCol" showAll="0">
      <items count="5">
        <item x="3"/>
        <item x="1"/>
        <item x="2"/>
        <item x="0"/>
        <item t="default"/>
      </items>
    </pivotField>
    <pivotField axis="axisRow" showAll="0">
      <items count="27">
        <item x="22"/>
        <item x="11"/>
        <item x="17"/>
        <item x="7"/>
        <item x="24"/>
        <item x="15"/>
        <item x="25"/>
        <item x="3"/>
        <item x="14"/>
        <item x="23"/>
        <item x="21"/>
        <item x="6"/>
        <item x="0"/>
        <item x="5"/>
        <item x="16"/>
        <item x="9"/>
        <item x="8"/>
        <item x="10"/>
        <item x="18"/>
        <item x="13"/>
        <item x="4"/>
        <item x="20"/>
        <item x="2"/>
        <item x="1"/>
        <item x="19"/>
        <item x="12"/>
        <item t="default"/>
      </items>
    </pivotField>
    <pivotField numFmtId="165" showAll="0"/>
    <pivotField showAll="0"/>
    <pivotField showAll="0"/>
    <pivotField showAll="0"/>
    <pivotField dataField="1" numFmtId="167" showAll="0"/>
  </pivotFields>
  <rowFields count="1">
    <field x="3"/>
  </rowFields>
  <rowItems count="15">
    <i>
      <x/>
    </i>
    <i>
      <x v="3"/>
    </i>
    <i>
      <x v="4"/>
    </i>
    <i>
      <x v="5"/>
    </i>
    <i>
      <x v="8"/>
    </i>
    <i>
      <x v="9"/>
    </i>
    <i>
      <x v="10"/>
    </i>
    <i>
      <x v="12"/>
    </i>
    <i>
      <x v="13"/>
    </i>
    <i>
      <x v="14"/>
    </i>
    <i>
      <x v="15"/>
    </i>
    <i>
      <x v="16"/>
    </i>
    <i>
      <x v="18"/>
    </i>
    <i>
      <x v="20"/>
    </i>
    <i>
      <x v="22"/>
    </i>
  </rowItems>
  <colFields count="1">
    <field x="2"/>
  </colFields>
  <colItems count="4">
    <i>
      <x/>
    </i>
    <i>
      <x v="1"/>
    </i>
    <i>
      <x v="2"/>
    </i>
    <i>
      <x v="3"/>
    </i>
  </colItems>
  <dataFields count="1">
    <dataField name="Total Amounts for" fld="8" baseField="0" baseItem="0"/>
  </dataFields>
  <formats count="1">
    <format dxfId="0">
      <pivotArea field="2" type="button" dataOnly="0" labelOnly="1" outline="0" axis="axisCol" fieldPosition="0"/>
    </format>
  </formats>
  <chartFormats count="4">
    <chartFormat chart="2" format="8" series="1">
      <pivotArea type="data" outline="0" fieldPosition="0">
        <references count="2">
          <reference field="4294967294" count="1" selected="0">
            <x v="0"/>
          </reference>
          <reference field="2" count="1" selected="0">
            <x v="0"/>
          </reference>
        </references>
      </pivotArea>
    </chartFormat>
    <chartFormat chart="2" format="9" series="1">
      <pivotArea type="data" outline="0" fieldPosition="0">
        <references count="2">
          <reference field="4294967294" count="1" selected="0">
            <x v="0"/>
          </reference>
          <reference field="2" count="1" selected="0">
            <x v="1"/>
          </reference>
        </references>
      </pivotArea>
    </chartFormat>
    <chartFormat chart="2" format="10" series="1">
      <pivotArea type="data" outline="0" fieldPosition="0">
        <references count="2">
          <reference field="4294967294" count="1" selected="0">
            <x v="0"/>
          </reference>
          <reference field="2" count="1" selected="0">
            <x v="2"/>
          </reference>
        </references>
      </pivotArea>
    </chartFormat>
    <chartFormat chart="2" format="11" series="1">
      <pivotArea type="data" outline="0" fieldPosition="0">
        <references count="2">
          <reference field="4294967294" count="1" selected="0">
            <x v="0"/>
          </reference>
          <reference field="2"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767C9041-27F6-47F3-9AB3-B5AE2C5FC87C}" name="PivotTable3" cacheId="2393"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4">
  <location ref="E3:F8" firstHeaderRow="1" firstDataRow="1" firstDataCol="1"/>
  <pivotFields count="11">
    <pivotField showAll="0"/>
    <pivotField showAll="0"/>
    <pivotField dataField="1" showAll="0">
      <items count="6">
        <item h="1" x="3"/>
        <item h="1" x="0"/>
        <item x="4"/>
        <item h="1" x="1"/>
        <item h="1" x="2"/>
        <item t="default"/>
      </items>
    </pivotField>
    <pivotField numFmtId="165" showAll="0"/>
    <pivotField axis="axisRow" showAll="0">
      <items count="5">
        <item x="2"/>
        <item x="1"/>
        <item x="3"/>
        <item x="0"/>
        <item t="default"/>
      </items>
    </pivotField>
    <pivotField showAll="0"/>
    <pivotField numFmtId="164" showAll="0"/>
    <pivotField showAll="0"/>
    <pivotField showAll="0"/>
    <pivotField numFmtId="164" showAll="0"/>
    <pivotField showAll="0"/>
  </pivotFields>
  <rowFields count="1">
    <field x="4"/>
  </rowFields>
  <rowItems count="5">
    <i>
      <x/>
    </i>
    <i>
      <x v="1"/>
    </i>
    <i>
      <x v="2"/>
    </i>
    <i>
      <x v="3"/>
    </i>
    <i t="grand">
      <x/>
    </i>
  </rowItems>
  <colItems count="1">
    <i/>
  </colItems>
  <dataFields count="1">
    <dataField name="Count of Type" fld="2" subtotal="count" baseField="0" baseItem="0"/>
  </dataFields>
  <chartFormats count="1">
    <chartFormat chart="2" format="17"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ype" xr10:uid="{3B74DF5A-20ED-4951-B832-92CC0980ABE7}" sourceName="Type">
  <pivotTables>
    <pivotTable tabId="16" name="PivotTable3"/>
  </pivotTables>
  <data>
    <tabular pivotCacheId="916962099">
      <items count="5">
        <i x="3"/>
        <i x="0"/>
        <i x="4" s="1"/>
        <i x="1"/>
        <i x="2"/>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p_Name" xr10:uid="{1CC68567-91C5-4224-AE9C-F98D8621BD25}" sourceName="Prop Name">
  <pivotTables>
    <pivotTable tabId="16" name="PivotTable10"/>
  </pivotTables>
  <data>
    <tabular pivotCacheId="488401117">
      <items count="9">
        <i x="8"/>
        <i x="4"/>
        <i x="1"/>
        <i x="3" s="1"/>
        <i x="5"/>
        <i x="7"/>
        <i x="2"/>
        <i x="0"/>
        <i x="6"/>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p_Name1" xr10:uid="{588D17CB-9FF0-4508-BD96-2E5245CB6C83}" sourceName="Prop Name">
  <pivotTables>
    <pivotTable tabId="16" name="PivotTable6"/>
  </pivotTables>
  <data>
    <tabular pivotCacheId="306929777">
      <items count="9">
        <i x="8"/>
        <i x="4"/>
        <i x="1"/>
        <i x="3" s="1"/>
        <i x="5"/>
        <i x="7"/>
        <i x="2"/>
        <i x="0"/>
        <i x="6"/>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ype" xr10:uid="{18913F5D-73B1-4E34-AEE6-B49115FD3200}" cache="Slicer_Type" caption="Type of Property" columnCount="2" style="SlicerStyleOther2" rowHeight="273050"/>
  <slicer name="Prop Name" xr10:uid="{93F2ED81-FA4F-43EC-A449-86DFBCD796DD}" cache="Slicer_Prop_Name" caption="Prop Name" startItem="3" rowHeight="273050"/>
  <slicer name="Prop Name 1" xr10:uid="{482F1323-D6ED-4D92-B334-1766EF6AED34}" cache="Slicer_Prop_Name1" caption="Prop Name" startItem="1" rowHeight="273050"/>
</slicers>
</file>

<file path=xl/theme/theme1.xml><?xml version="1.0" encoding="utf-8"?>
<a:theme xmlns:a="http://schemas.openxmlformats.org/drawingml/2006/main" name="Berlin">
  <a:themeElements>
    <a:clrScheme name="Orange Red">
      <a:dk1>
        <a:sysClr val="windowText" lastClr="000000"/>
      </a:dk1>
      <a:lt1>
        <a:sysClr val="window" lastClr="FFFFFF"/>
      </a:lt1>
      <a:dk2>
        <a:srgbClr val="696464"/>
      </a:dk2>
      <a:lt2>
        <a:srgbClr val="E9E5DC"/>
      </a:lt2>
      <a:accent1>
        <a:srgbClr val="D34817"/>
      </a:accent1>
      <a:accent2>
        <a:srgbClr val="9B2D1F"/>
      </a:accent2>
      <a:accent3>
        <a:srgbClr val="A28E6A"/>
      </a:accent3>
      <a:accent4>
        <a:srgbClr val="956251"/>
      </a:accent4>
      <a:accent5>
        <a:srgbClr val="918485"/>
      </a:accent5>
      <a:accent6>
        <a:srgbClr val="855D5D"/>
      </a:accent6>
      <a:hlink>
        <a:srgbClr val="CC9900"/>
      </a:hlink>
      <a:folHlink>
        <a:srgbClr val="96A9A9"/>
      </a:folHlink>
    </a:clrScheme>
    <a:fontScheme name="Gill Sans MT">
      <a:majorFont>
        <a:latin typeface="Gill Sans MT" panose="020B0502020104020203"/>
        <a:ea typeface=""/>
        <a:cs typeface=""/>
        <a:font script="Grek" typeface="Corbel"/>
        <a:font script="Cyrl" typeface="Corbel"/>
        <a:font script="Jpan" typeface="HGｺﾞｼｯｸE"/>
        <a:font script="Hang" typeface="휴먼매직체"/>
        <a:font script="Hans" typeface="华文中宋"/>
        <a:font script="Hant" typeface="微軟正黑體"/>
        <a:font script="Arab" typeface="Majalla UI"/>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Gill Sans MT" panose="020B0502020104020203"/>
        <a:ea typeface=""/>
        <a:cs typeface=""/>
        <a:font script="Grek" typeface="Corbel"/>
        <a:font script="Cyrl" typeface="Corbel"/>
        <a:font script="Jpan" typeface="HGｺﾞｼｯｸE"/>
        <a:font script="Hang" typeface="휴먼매직체"/>
        <a:font script="Hans" typeface="华文中宋"/>
        <a:font script="Hant" typeface="微軟正黑體"/>
        <a:font script="Arab" typeface="Majalla UI"/>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Berlin">
      <a:fillStyleLst>
        <a:solidFill>
          <a:schemeClr val="phClr"/>
        </a:solidFill>
        <a:gradFill rotWithShape="1">
          <a:gsLst>
            <a:gs pos="0">
              <a:schemeClr val="phClr">
                <a:tint val="60000"/>
                <a:satMod val="100000"/>
                <a:lumMod val="110000"/>
              </a:schemeClr>
            </a:gs>
            <a:gs pos="100000">
              <a:schemeClr val="phClr">
                <a:tint val="70000"/>
                <a:satMod val="100000"/>
                <a:lumMod val="100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6000"/>
                <a:shade val="100000"/>
                <a:hueMod val="270000"/>
                <a:satMod val="200000"/>
                <a:lumMod val="128000"/>
              </a:schemeClr>
            </a:gs>
            <a:gs pos="50000">
              <a:schemeClr val="phClr">
                <a:shade val="100000"/>
                <a:hueMod val="100000"/>
                <a:satMod val="110000"/>
                <a:lumMod val="130000"/>
              </a:schemeClr>
            </a:gs>
            <a:gs pos="100000">
              <a:schemeClr val="phClr">
                <a:shade val="78000"/>
                <a:hueMod val="44000"/>
                <a:satMod val="200000"/>
                <a:lumMod val="69000"/>
              </a:schemeClr>
            </a:gs>
          </a:gsLst>
          <a:lin ang="2520000" scaled="0"/>
        </a:gradFill>
      </a:bgFillStyleLst>
    </a:fmtScheme>
  </a:themeElements>
  <a:objectDefaults/>
  <a:extraClrSchemeLst/>
  <a:extLst>
    <a:ext uri="{05A4C25C-085E-4340-85A3-A5531E510DB2}">
      <thm15:themeFamily xmlns:thm15="http://schemas.microsoft.com/office/thememl/2012/main" name="Berlin" id="{7B5DBA9E-B069-418E-9360-A61BDD0615A4}" vid="{C0CBE056-4EF4-4D92-969E-947779DA7AA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Date1" xr10:uid="{E007252C-D5FC-4964-8EDA-7082ED623A2D}" sourceName="Date">
  <pivotTables>
    <pivotTable tabId="16" name="PivotTable2"/>
  </pivotTables>
  <state minimalRefreshVersion="6" lastRefreshVersion="6" pivotCacheId="2032559115" filterType="dateBetween">
    <selection startDate="2020-06-01T00:00:00" endDate="2020-06-30T00:00:00"/>
    <bounds startDate="2020-01-01T00:00:00" endDate="2021-01-01T00:00:00"/>
  </state>
</timelineCacheDefinition>
</file>

<file path=xl/timelineCaches/timelineCache2.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Date" xr10:uid="{6128D0BB-C70B-4055-949E-AE009E908D55}" sourceName="Date">
  <pivotTables>
    <pivotTable tabId="17" name="PivotTable15"/>
  </pivotTables>
  <state minimalRefreshVersion="6" lastRefreshVersion="6" pivotCacheId="488401117" filterType="dateBetween">
    <selection startDate="2020-04-01T00:00:00" endDate="2020-04-30T00:00:00"/>
    <bounds startDate="2020-01-01T00:00:00" endDate="202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profits" xr10:uid="{00206548-92FC-4FAE-93F9-36DA210A68EC}" cache="NativeTimeline_Date1" caption="Time" showHorizontalScrollbar="0" level="2" selectionLevel="2" scrollPosition="2020-01-13T00:00:00"/>
  <timeline name="Date" xr10:uid="{868A34B6-0832-4D0F-9912-4212A897767B}" cache="NativeTimeline_Date" caption="Profit timelines" level="2" selectionLevel="2" scrollPosition="2020-01-01T00:00:00"/>
</timelines>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3.xml"/><Relationship Id="rId1" Type="http://schemas.openxmlformats.org/officeDocument/2006/relationships/pivotTable" Target="../pivotTables/pivotTable1.xml"/><Relationship Id="rId4" Type="http://schemas.microsoft.com/office/2011/relationships/timeline" Target="../timelines/timeline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mailto:veronicananjala1@gmail.com" TargetMode="External"/><Relationship Id="rId1" Type="http://schemas.openxmlformats.org/officeDocument/2006/relationships/hyperlink" Target="mailto:veronicananjala1@gmail.com" TargetMode="External"/></Relationships>
</file>

<file path=xl/worksheets/_rels/sheet9.xml.rels><?xml version="1.0" encoding="UTF-8" standalone="yes"?>
<Relationships xmlns="http://schemas.openxmlformats.org/package/2006/relationships"><Relationship Id="rId3" Type="http://schemas.openxmlformats.org/officeDocument/2006/relationships/hyperlink" Target="mailto:veronicananjala1@gmail.com" TargetMode="External"/><Relationship Id="rId2" Type="http://schemas.openxmlformats.org/officeDocument/2006/relationships/hyperlink" Target="mailto:veronicananjala1@gmail.com" TargetMode="External"/><Relationship Id="rId1" Type="http://schemas.openxmlformats.org/officeDocument/2006/relationships/hyperlink" Target="mailto:veronicananjala1@gmail.com" TargetMode="External"/><Relationship Id="rId4" Type="http://schemas.openxmlformats.org/officeDocument/2006/relationships/hyperlink" Target="mailto:veronicananjala1@gmail.com" TargetMode="External"/></Relationships>
</file>

<file path=xl/worksheets/_rels/sheet12.xml.rels><?xml version="1.0" encoding="UTF-8" standalone="yes"?>
<Relationships xmlns="http://schemas.openxmlformats.org/package/2006/relationships"><Relationship Id="rId3" Type="http://schemas.openxmlformats.org/officeDocument/2006/relationships/pivotTable" Target="../pivotTables/pivotTable4.xml"/><Relationship Id="rId2" Type="http://schemas.openxmlformats.org/officeDocument/2006/relationships/pivotTable" Target="../pivotTables/pivotTable3.xml"/><Relationship Id="rId1" Type="http://schemas.openxmlformats.org/officeDocument/2006/relationships/pivotTable" Target="../pivotTables/pivotTable2.xml"/><Relationship Id="rId4" Type="http://schemas.openxmlformats.org/officeDocument/2006/relationships/pivotTable" Target="../pivotTables/pivot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5BFAD-8020-4E69-A4AB-E7A7002B3203}">
  <sheetPr codeName="Sheet3"/>
  <dimension ref="A1:C33"/>
  <sheetViews>
    <sheetView showGridLines="0" showRowColHeaders="0" tabSelected="1" zoomScale="70" zoomScaleNormal="70" workbookViewId="0">
      <selection activeCell="T7" sqref="T7"/>
    </sheetView>
  </sheetViews>
  <sheetFormatPr defaultRowHeight="17.25"/>
  <cols>
    <col min="1" max="1" width="121.375" customWidth="1"/>
    <col min="2" max="2" width="82.875" customWidth="1"/>
  </cols>
  <sheetData>
    <row r="1" spans="1:2" ht="39" customHeight="1">
      <c r="A1" s="66" t="s">
        <v>0</v>
      </c>
      <c r="B1" s="63"/>
    </row>
    <row r="2" spans="1:2">
      <c r="A2" s="64"/>
      <c r="B2" s="64"/>
    </row>
    <row r="3" spans="1:2">
      <c r="A3" s="65"/>
      <c r="B3" s="65"/>
    </row>
    <row r="4" spans="1:2">
      <c r="A4" s="65"/>
      <c r="B4" s="65"/>
    </row>
    <row r="5" spans="1:2">
      <c r="A5" s="65"/>
      <c r="B5" s="65"/>
    </row>
    <row r="6" spans="1:2">
      <c r="A6" s="65"/>
      <c r="B6" s="65"/>
    </row>
    <row r="7" spans="1:2">
      <c r="A7" s="65"/>
      <c r="B7" s="65"/>
    </row>
    <row r="8" spans="1:2">
      <c r="A8" s="65"/>
      <c r="B8" s="65"/>
    </row>
    <row r="9" spans="1:2">
      <c r="A9" s="65"/>
      <c r="B9" s="65"/>
    </row>
    <row r="10" spans="1:2">
      <c r="A10" s="65"/>
      <c r="B10" s="65"/>
    </row>
    <row r="11" spans="1:2">
      <c r="A11" s="65"/>
      <c r="B11" s="65"/>
    </row>
    <row r="12" spans="1:2">
      <c r="A12" s="65"/>
      <c r="B12" s="65"/>
    </row>
    <row r="13" spans="1:2">
      <c r="A13" s="65"/>
      <c r="B13" s="65"/>
    </row>
    <row r="14" spans="1:2">
      <c r="A14" s="65"/>
      <c r="B14" s="65"/>
    </row>
    <row r="15" spans="1:2">
      <c r="A15" s="65"/>
      <c r="B15" s="65"/>
    </row>
    <row r="16" spans="1:2">
      <c r="A16" s="65"/>
      <c r="B16" s="65"/>
    </row>
    <row r="17" spans="1:3">
      <c r="A17" s="65"/>
      <c r="B17" s="65"/>
    </row>
    <row r="18" spans="1:3">
      <c r="A18" s="65"/>
      <c r="B18" s="65"/>
    </row>
    <row r="19" spans="1:3">
      <c r="A19" s="65"/>
      <c r="B19" s="65"/>
    </row>
    <row r="20" spans="1:3">
      <c r="A20" s="65"/>
      <c r="B20" s="65"/>
    </row>
    <row r="21" spans="1:3">
      <c r="A21" s="65"/>
      <c r="B21" s="65"/>
    </row>
    <row r="22" spans="1:3">
      <c r="A22" s="65"/>
      <c r="B22" s="65"/>
    </row>
    <row r="23" spans="1:3">
      <c r="A23" s="65"/>
      <c r="B23" s="65"/>
    </row>
    <row r="24" spans="1:3" ht="20.25">
      <c r="A24" s="65"/>
      <c r="B24" s="65"/>
      <c r="C24" s="67"/>
    </row>
    <row r="25" spans="1:3">
      <c r="A25" s="65"/>
      <c r="B25" s="65"/>
    </row>
    <row r="26" spans="1:3">
      <c r="A26" s="65"/>
      <c r="B26" s="65"/>
    </row>
    <row r="27" spans="1:3">
      <c r="A27" s="65"/>
      <c r="B27" s="65"/>
    </row>
    <row r="28" spans="1:3">
      <c r="A28" s="65"/>
      <c r="B28" s="65"/>
    </row>
    <row r="29" spans="1:3">
      <c r="A29" s="65"/>
      <c r="B29" s="65"/>
    </row>
    <row r="30" spans="1:3">
      <c r="A30" s="65"/>
      <c r="B30" s="65"/>
    </row>
    <row r="31" spans="1:3">
      <c r="A31" s="65"/>
      <c r="B31" s="65"/>
    </row>
    <row r="32" spans="1:3">
      <c r="A32" s="65"/>
      <c r="B32" s="65"/>
    </row>
    <row r="33" spans="1:2" ht="84.75" customHeight="1">
      <c r="A33" s="65"/>
      <c r="B33" s="65"/>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51C49D-9C49-4290-8231-F43A8174D198}">
  <sheetPr codeName="Dashboard"/>
  <dimension ref="A1:Y62"/>
  <sheetViews>
    <sheetView showGridLines="0" showRowColHeaders="0" topLeftCell="C1" workbookViewId="0">
      <selection activeCell="F23" sqref="F23"/>
    </sheetView>
  </sheetViews>
  <sheetFormatPr defaultColWidth="9.125" defaultRowHeight="17.25"/>
  <cols>
    <col min="1" max="1" width="4.75" style="14" hidden="1" customWidth="1"/>
    <col min="2" max="2" width="3.125" style="14" hidden="1" customWidth="1"/>
    <col min="3" max="3" width="1.875" style="6" customWidth="1"/>
    <col min="4" max="4" width="22" style="6" customWidth="1"/>
    <col min="5" max="5" width="6.625" style="6" customWidth="1"/>
    <col min="6" max="6" width="26.75" style="6" customWidth="1"/>
    <col min="7" max="7" width="3.75" style="6" customWidth="1"/>
    <col min="8" max="8" width="24.75" style="6" customWidth="1"/>
    <col min="9" max="10" width="9.125" style="6"/>
    <col min="11" max="11" width="13.75" style="6" customWidth="1"/>
    <col min="12" max="16384" width="9.125" style="6"/>
  </cols>
  <sheetData>
    <row r="1" spans="3:25" ht="24.75">
      <c r="C1" s="15"/>
      <c r="D1" s="80" t="s">
        <v>1</v>
      </c>
      <c r="E1" s="80"/>
      <c r="F1" s="80"/>
      <c r="G1" s="80"/>
      <c r="H1" s="80"/>
      <c r="I1" s="80"/>
      <c r="J1" s="80"/>
      <c r="K1" s="80"/>
      <c r="L1" s="80"/>
      <c r="M1" s="80"/>
      <c r="N1" s="80"/>
      <c r="O1" s="81"/>
      <c r="P1" s="81"/>
      <c r="Q1" s="81"/>
      <c r="R1" s="81"/>
      <c r="S1" s="81"/>
      <c r="T1" s="81"/>
      <c r="U1" s="81"/>
      <c r="V1" s="81"/>
      <c r="W1" s="81"/>
      <c r="X1" s="81"/>
      <c r="Y1" s="81"/>
    </row>
    <row r="2" spans="3:25" ht="0.75" customHeight="1">
      <c r="C2" s="4"/>
      <c r="D2" s="4"/>
      <c r="E2" s="4"/>
      <c r="F2" s="4"/>
      <c r="G2" s="4"/>
      <c r="H2" s="4"/>
      <c r="I2" s="4"/>
      <c r="J2" s="4"/>
      <c r="K2" s="4"/>
      <c r="L2" s="4"/>
      <c r="M2" s="4"/>
      <c r="N2" s="4"/>
      <c r="O2" s="4"/>
      <c r="P2" s="4"/>
      <c r="Q2" s="4"/>
      <c r="R2" s="4"/>
      <c r="S2" s="4"/>
      <c r="T2" s="4"/>
      <c r="U2" s="4"/>
      <c r="V2" s="4"/>
      <c r="W2" s="4"/>
      <c r="X2" s="4"/>
      <c r="Y2" s="4"/>
    </row>
    <row r="3" spans="3:25" ht="28.5" customHeight="1" thickBot="1">
      <c r="C3" s="5"/>
      <c r="D3" s="5"/>
      <c r="E3" s="5"/>
      <c r="F3" s="5"/>
      <c r="G3" s="5"/>
      <c r="H3" s="5"/>
      <c r="I3" s="5"/>
      <c r="J3" s="5"/>
      <c r="K3" s="5"/>
      <c r="L3" s="5"/>
      <c r="M3" s="5"/>
      <c r="N3" s="5"/>
      <c r="O3" s="5"/>
      <c r="P3" s="5"/>
      <c r="Q3" s="5"/>
      <c r="R3" s="5"/>
      <c r="S3" s="5"/>
      <c r="T3" s="5"/>
      <c r="U3" s="5"/>
      <c r="V3" s="5"/>
      <c r="W3" s="5"/>
      <c r="X3" s="5"/>
      <c r="Y3" s="5"/>
    </row>
    <row r="4" spans="3:25" s="12" customFormat="1" ht="18.75" thickTop="1" thickBot="1">
      <c r="D4" s="61" t="s">
        <v>2</v>
      </c>
    </row>
    <row r="5" spans="3:25" ht="18" thickTop="1">
      <c r="C5" s="5"/>
      <c r="D5" s="62"/>
      <c r="E5" s="16"/>
      <c r="F5" s="16"/>
      <c r="G5" s="16"/>
      <c r="H5" s="16"/>
      <c r="I5" s="16"/>
      <c r="J5" s="16"/>
      <c r="K5" s="16"/>
      <c r="L5" s="16"/>
      <c r="M5" s="16"/>
      <c r="N5" s="16"/>
      <c r="O5" s="16"/>
      <c r="P5" s="16"/>
      <c r="Q5" s="16"/>
      <c r="R5" s="16"/>
      <c r="S5" s="16"/>
      <c r="T5" s="16"/>
      <c r="U5" s="16"/>
      <c r="V5" s="16"/>
      <c r="W5" s="16"/>
      <c r="X5" s="16"/>
      <c r="Y5" s="16"/>
    </row>
    <row r="6" spans="3:25">
      <c r="C6" s="5"/>
      <c r="D6" s="13"/>
      <c r="E6" s="16"/>
      <c r="F6" s="16"/>
      <c r="G6" s="16"/>
      <c r="H6" s="16"/>
      <c r="I6" s="16"/>
      <c r="J6" s="16"/>
      <c r="K6" s="16"/>
      <c r="L6" s="16"/>
      <c r="M6" s="16"/>
      <c r="N6" s="16"/>
      <c r="O6" s="16"/>
      <c r="P6" s="16"/>
      <c r="Q6" s="16"/>
      <c r="R6" s="16"/>
      <c r="S6" s="16"/>
      <c r="T6" s="16"/>
      <c r="U6" s="16"/>
      <c r="V6" s="16"/>
      <c r="W6" s="16"/>
      <c r="X6" s="16"/>
      <c r="Y6" s="16"/>
    </row>
    <row r="7" spans="3:25">
      <c r="C7" s="5"/>
      <c r="D7" s="13"/>
      <c r="E7" s="16"/>
      <c r="F7" s="16"/>
      <c r="G7" s="16"/>
      <c r="H7" s="16"/>
      <c r="I7" s="16"/>
      <c r="J7" s="16"/>
      <c r="K7" s="16"/>
      <c r="L7" s="16"/>
      <c r="M7" s="16"/>
      <c r="N7" s="16"/>
      <c r="O7" s="16"/>
      <c r="P7" s="16"/>
      <c r="Q7" s="16"/>
      <c r="R7" s="16"/>
      <c r="S7" s="16"/>
      <c r="T7" s="16"/>
      <c r="U7" s="16"/>
      <c r="V7" s="16"/>
      <c r="W7" s="16"/>
      <c r="X7" s="16"/>
      <c r="Y7" s="16"/>
    </row>
    <row r="8" spans="3:25">
      <c r="C8" s="5"/>
      <c r="D8" s="13"/>
      <c r="E8" s="16"/>
      <c r="F8" s="16"/>
      <c r="G8" s="16"/>
      <c r="H8" s="16"/>
      <c r="I8" s="16"/>
      <c r="J8" s="16"/>
      <c r="K8" s="16"/>
      <c r="L8" s="16"/>
      <c r="M8" s="16"/>
      <c r="N8" s="16"/>
      <c r="O8" s="16"/>
      <c r="P8" s="16"/>
      <c r="Q8" s="16"/>
      <c r="R8" s="16"/>
      <c r="S8" s="16"/>
      <c r="T8" s="16"/>
      <c r="U8" s="16"/>
      <c r="V8" s="16"/>
      <c r="W8" s="16"/>
      <c r="X8" s="16"/>
      <c r="Y8" s="16"/>
    </row>
    <row r="9" spans="3:25">
      <c r="C9" s="5"/>
      <c r="D9" s="13"/>
      <c r="E9" s="16"/>
      <c r="F9" s="16"/>
      <c r="G9" s="16"/>
      <c r="H9" s="16"/>
      <c r="I9" s="16"/>
      <c r="J9" s="16"/>
      <c r="K9" s="16"/>
      <c r="L9" s="16"/>
      <c r="M9" s="16"/>
      <c r="N9" s="16"/>
      <c r="O9" s="16"/>
      <c r="P9" s="16"/>
      <c r="Q9" s="16"/>
      <c r="R9" s="16"/>
      <c r="S9" s="16"/>
      <c r="T9" s="16"/>
      <c r="U9" s="16"/>
      <c r="V9" s="16"/>
      <c r="W9" s="16"/>
      <c r="X9" s="16"/>
      <c r="Y9" s="16"/>
    </row>
    <row r="10" spans="3:25">
      <c r="C10" s="5"/>
      <c r="D10" s="13"/>
      <c r="E10" s="16"/>
      <c r="F10" s="16"/>
      <c r="G10" s="16"/>
      <c r="H10" s="16"/>
      <c r="I10" s="16"/>
      <c r="J10" s="16"/>
      <c r="K10" s="16"/>
      <c r="L10" s="16"/>
      <c r="M10" s="16"/>
      <c r="N10" s="16"/>
      <c r="O10" s="16"/>
      <c r="P10" s="16"/>
      <c r="Q10" s="16"/>
      <c r="R10" s="16"/>
      <c r="S10" s="16"/>
      <c r="T10" s="16"/>
      <c r="U10" s="16"/>
      <c r="V10" s="16"/>
      <c r="W10" s="16"/>
      <c r="X10" s="16"/>
      <c r="Y10" s="16"/>
    </row>
    <row r="11" spans="3:25">
      <c r="C11" s="5"/>
      <c r="D11" s="13"/>
      <c r="E11" s="16"/>
      <c r="F11" s="16"/>
      <c r="G11" s="16"/>
      <c r="H11" s="16"/>
      <c r="I11" s="16"/>
      <c r="J11" s="16"/>
      <c r="K11" s="16"/>
      <c r="L11" s="16"/>
      <c r="M11" s="16"/>
      <c r="N11" s="16"/>
      <c r="O11" s="16"/>
      <c r="P11" s="16"/>
      <c r="Q11" s="16"/>
      <c r="R11" s="16"/>
      <c r="S11" s="16"/>
      <c r="T11" s="16"/>
      <c r="U11" s="16"/>
      <c r="V11" s="16"/>
      <c r="W11" s="16"/>
      <c r="X11" s="16"/>
      <c r="Y11" s="16"/>
    </row>
    <row r="12" spans="3:25">
      <c r="C12" s="5"/>
      <c r="D12" s="13"/>
      <c r="E12" s="16"/>
      <c r="F12" s="16"/>
      <c r="G12" s="16"/>
      <c r="H12" s="16"/>
      <c r="I12" s="16"/>
      <c r="J12" s="16"/>
      <c r="K12" s="16"/>
      <c r="L12" s="16"/>
      <c r="M12" s="16"/>
      <c r="N12" s="16"/>
      <c r="O12" s="16"/>
      <c r="P12" s="16"/>
      <c r="Q12" s="16"/>
      <c r="R12" s="16"/>
      <c r="S12" s="16"/>
      <c r="T12" s="16"/>
      <c r="U12" s="16"/>
      <c r="V12" s="16"/>
      <c r="W12" s="16"/>
      <c r="X12" s="16"/>
      <c r="Y12" s="16"/>
    </row>
    <row r="13" spans="3:25">
      <c r="C13" s="5"/>
      <c r="D13" s="13"/>
      <c r="E13" s="16"/>
      <c r="F13" s="16"/>
      <c r="G13" s="16"/>
      <c r="H13" s="16"/>
      <c r="I13" s="16"/>
      <c r="J13" s="16"/>
      <c r="K13" s="16"/>
      <c r="L13" s="16"/>
      <c r="M13" s="16"/>
      <c r="N13" s="16"/>
      <c r="O13" s="16"/>
      <c r="P13" s="16"/>
      <c r="Q13" s="16"/>
      <c r="R13" s="16"/>
      <c r="S13" s="16"/>
      <c r="T13" s="16"/>
      <c r="U13" s="16"/>
      <c r="V13" s="16"/>
      <c r="W13" s="16"/>
      <c r="X13" s="16"/>
      <c r="Y13" s="16"/>
    </row>
    <row r="14" spans="3:25">
      <c r="C14" s="5"/>
      <c r="D14" s="13"/>
      <c r="E14" s="16"/>
      <c r="F14" s="16"/>
      <c r="G14" s="16"/>
      <c r="H14" s="16"/>
      <c r="I14" s="16"/>
      <c r="J14" s="16"/>
      <c r="K14" s="16"/>
      <c r="L14" s="16"/>
      <c r="M14" s="16"/>
      <c r="N14" s="16"/>
      <c r="O14" s="16"/>
      <c r="P14" s="16"/>
      <c r="Q14" s="16"/>
      <c r="R14" s="16"/>
      <c r="S14" s="16"/>
      <c r="T14" s="16"/>
      <c r="U14" s="16"/>
      <c r="V14" s="16"/>
      <c r="W14" s="16"/>
      <c r="X14" s="16"/>
      <c r="Y14" s="16"/>
    </row>
    <row r="15" spans="3:25">
      <c r="C15" s="5"/>
      <c r="D15" s="13"/>
      <c r="E15" s="16"/>
      <c r="F15" s="16"/>
      <c r="G15" s="16"/>
      <c r="H15" s="16"/>
      <c r="I15" s="16"/>
      <c r="J15" s="16"/>
      <c r="K15" s="16"/>
      <c r="L15" s="16"/>
      <c r="M15" s="16" t="s">
        <v>3</v>
      </c>
      <c r="N15" s="16"/>
      <c r="O15" s="16"/>
      <c r="P15" s="16"/>
      <c r="Q15" s="16"/>
      <c r="R15" s="16"/>
      <c r="S15" s="16"/>
      <c r="T15" s="16"/>
      <c r="U15" s="16"/>
      <c r="V15" s="16"/>
      <c r="W15" s="16"/>
      <c r="X15" s="16"/>
      <c r="Y15" s="16"/>
    </row>
    <row r="16" spans="3:25">
      <c r="C16" s="5"/>
      <c r="D16" s="13"/>
      <c r="E16" s="16"/>
      <c r="F16" s="16"/>
      <c r="G16" s="16"/>
      <c r="H16" s="16"/>
      <c r="I16" s="16"/>
      <c r="J16" s="16"/>
      <c r="K16" s="16"/>
      <c r="L16" s="16"/>
      <c r="M16" s="16"/>
      <c r="N16" s="16"/>
      <c r="O16" s="16"/>
      <c r="P16" s="16"/>
      <c r="Q16" s="16"/>
      <c r="R16" s="16"/>
      <c r="S16" s="16"/>
      <c r="T16" s="16"/>
      <c r="U16" s="16"/>
      <c r="V16" s="16"/>
      <c r="W16" s="16"/>
      <c r="X16" s="16"/>
      <c r="Y16" s="16"/>
    </row>
    <row r="17" spans="3:25">
      <c r="C17" s="5"/>
      <c r="D17" s="13"/>
      <c r="E17" s="16"/>
      <c r="F17" s="16"/>
      <c r="G17" s="16"/>
      <c r="H17" s="16"/>
      <c r="I17" s="16"/>
      <c r="J17" s="16"/>
      <c r="K17" s="16"/>
      <c r="L17" s="16"/>
      <c r="M17" s="16"/>
      <c r="N17" s="16"/>
      <c r="O17" s="16"/>
      <c r="P17" s="16"/>
      <c r="Q17" s="16"/>
      <c r="R17" s="16"/>
      <c r="S17" s="16"/>
      <c r="T17" s="16"/>
      <c r="U17" s="16"/>
      <c r="V17" s="16"/>
      <c r="W17" s="16"/>
      <c r="X17" s="16"/>
      <c r="Y17" s="16"/>
    </row>
    <row r="18" spans="3:25">
      <c r="C18" s="5"/>
      <c r="D18" s="13"/>
      <c r="E18" s="16"/>
      <c r="F18" s="16"/>
      <c r="G18" s="16"/>
      <c r="H18" s="16"/>
      <c r="I18" s="16"/>
      <c r="J18" s="16"/>
      <c r="K18" s="16"/>
      <c r="L18" s="16"/>
      <c r="M18" s="16"/>
      <c r="N18" s="16"/>
      <c r="O18" s="16"/>
      <c r="P18" s="16"/>
      <c r="Q18" s="16"/>
      <c r="R18" s="16"/>
      <c r="S18" s="16"/>
      <c r="T18" s="16"/>
      <c r="U18" s="16"/>
      <c r="V18" s="16"/>
      <c r="W18" s="16"/>
      <c r="X18" s="16"/>
      <c r="Y18" s="16"/>
    </row>
    <row r="19" spans="3:25">
      <c r="C19" s="5"/>
      <c r="D19" s="13"/>
      <c r="E19" s="16"/>
      <c r="F19" s="16"/>
      <c r="G19" s="16"/>
      <c r="H19" s="16"/>
      <c r="I19" s="16"/>
      <c r="J19" s="16"/>
      <c r="K19" s="16"/>
      <c r="L19" s="16"/>
      <c r="M19" s="16"/>
      <c r="N19" s="16"/>
      <c r="O19" s="16"/>
      <c r="P19" s="16"/>
      <c r="Q19" s="16"/>
      <c r="R19" s="16"/>
      <c r="S19" s="16"/>
      <c r="T19" s="16"/>
      <c r="U19" s="16"/>
      <c r="V19" s="16"/>
      <c r="W19" s="16"/>
      <c r="X19" s="16"/>
      <c r="Y19" s="16"/>
    </row>
    <row r="20" spans="3:25">
      <c r="C20" s="5"/>
      <c r="D20" s="13"/>
      <c r="E20" s="16"/>
      <c r="F20" s="16"/>
      <c r="G20" s="16"/>
      <c r="H20" s="16"/>
      <c r="I20" s="16"/>
      <c r="J20" s="16"/>
      <c r="K20" s="16"/>
      <c r="L20" s="16"/>
      <c r="M20" s="16"/>
      <c r="N20" s="16"/>
      <c r="O20" s="16"/>
      <c r="P20" s="16"/>
      <c r="Q20" s="16"/>
      <c r="R20" s="16"/>
      <c r="S20" s="16"/>
      <c r="T20" s="16"/>
      <c r="U20" s="16"/>
      <c r="V20" s="16"/>
      <c r="W20" s="16"/>
      <c r="X20" s="16"/>
      <c r="Y20" s="16"/>
    </row>
    <row r="21" spans="3:25">
      <c r="C21" s="5"/>
      <c r="D21" s="13"/>
      <c r="E21" s="16"/>
      <c r="F21" s="16"/>
      <c r="G21" s="16"/>
      <c r="H21" s="16"/>
      <c r="I21" s="16"/>
      <c r="J21" s="16"/>
      <c r="K21" s="16"/>
      <c r="L21" s="16"/>
      <c r="M21" s="16"/>
      <c r="N21" s="16"/>
      <c r="O21" s="16"/>
      <c r="P21" s="16"/>
      <c r="Q21" s="16"/>
      <c r="R21" s="16"/>
      <c r="S21" s="16"/>
      <c r="T21" s="16"/>
      <c r="U21" s="16"/>
      <c r="V21" s="16"/>
      <c r="W21" s="16"/>
      <c r="X21" s="16"/>
      <c r="Y21" s="16"/>
    </row>
    <row r="22" spans="3:25">
      <c r="C22" s="5"/>
      <c r="D22" s="13"/>
      <c r="E22" s="16"/>
      <c r="F22" s="16"/>
      <c r="G22" s="16"/>
      <c r="H22" s="16"/>
      <c r="I22" s="16"/>
      <c r="J22" s="16"/>
      <c r="K22" s="16"/>
      <c r="L22" s="16"/>
      <c r="M22" s="16"/>
      <c r="N22" s="16"/>
      <c r="O22" s="16"/>
      <c r="P22" s="16"/>
      <c r="Q22" s="16"/>
      <c r="R22" s="16"/>
      <c r="S22" s="16"/>
      <c r="T22" s="16"/>
      <c r="U22" s="16"/>
      <c r="V22" s="16"/>
      <c r="W22" s="16"/>
      <c r="X22" s="16"/>
      <c r="Y22" s="16"/>
    </row>
    <row r="23" spans="3:25">
      <c r="C23" s="5"/>
      <c r="D23" s="13"/>
      <c r="E23" s="16"/>
      <c r="F23" s="16"/>
      <c r="G23" s="16"/>
      <c r="H23" s="16"/>
      <c r="I23" s="16"/>
      <c r="J23" s="16"/>
      <c r="K23" s="16"/>
      <c r="L23" s="16"/>
      <c r="M23" s="16"/>
      <c r="N23" s="16"/>
      <c r="O23" s="16"/>
      <c r="P23" s="16"/>
      <c r="Q23" s="16"/>
      <c r="R23" s="16"/>
      <c r="S23" s="16"/>
      <c r="T23" s="16"/>
      <c r="U23" s="16"/>
      <c r="V23" s="16"/>
      <c r="W23" s="16"/>
      <c r="X23" s="16"/>
      <c r="Y23" s="16"/>
    </row>
    <row r="24" spans="3:25">
      <c r="C24" s="5"/>
      <c r="D24" s="13"/>
      <c r="E24" s="16"/>
      <c r="F24" s="16"/>
      <c r="G24" s="16"/>
      <c r="H24" s="16"/>
      <c r="I24" s="16"/>
      <c r="J24" s="16"/>
      <c r="K24" s="16"/>
      <c r="L24" s="16"/>
      <c r="M24" s="16"/>
      <c r="N24" s="16"/>
      <c r="O24" s="16"/>
      <c r="P24" s="16"/>
      <c r="Q24" s="16"/>
      <c r="R24" s="16"/>
      <c r="S24" s="16"/>
      <c r="T24" s="16"/>
      <c r="U24" s="16"/>
      <c r="V24" s="16"/>
      <c r="W24" s="16"/>
      <c r="X24" s="16"/>
      <c r="Y24" s="16"/>
    </row>
    <row r="25" spans="3:25">
      <c r="C25" s="5"/>
      <c r="D25" s="13"/>
      <c r="E25" s="16"/>
      <c r="F25" s="16"/>
      <c r="G25" s="16"/>
      <c r="H25" s="16"/>
      <c r="I25" s="16"/>
      <c r="J25" s="16"/>
      <c r="K25" s="16"/>
      <c r="L25" s="16"/>
      <c r="M25" s="16"/>
      <c r="N25" s="16"/>
      <c r="O25" s="16"/>
      <c r="P25" s="16"/>
      <c r="Q25" s="16"/>
      <c r="R25" s="16"/>
      <c r="S25" s="16"/>
      <c r="T25" s="16"/>
      <c r="U25" s="16"/>
      <c r="V25" s="16"/>
      <c r="W25" s="16"/>
      <c r="X25" s="16"/>
      <c r="Y25" s="16"/>
    </row>
    <row r="26" spans="3:25">
      <c r="C26" s="5"/>
      <c r="D26" s="13"/>
      <c r="E26" s="16"/>
      <c r="F26" s="16"/>
      <c r="G26" s="16"/>
      <c r="H26" s="16"/>
      <c r="I26" s="16"/>
      <c r="J26" s="16"/>
      <c r="K26" s="16"/>
      <c r="L26" s="16"/>
      <c r="M26" s="16"/>
      <c r="N26" s="16"/>
      <c r="O26" s="16"/>
      <c r="P26" s="16"/>
      <c r="Q26" s="16"/>
      <c r="R26" s="16"/>
      <c r="S26" s="16"/>
      <c r="T26" s="16"/>
      <c r="U26" s="16"/>
      <c r="V26" s="16"/>
      <c r="W26" s="16"/>
      <c r="X26" s="16"/>
      <c r="Y26" s="16"/>
    </row>
    <row r="27" spans="3:25">
      <c r="C27" s="5"/>
      <c r="D27" s="13"/>
      <c r="E27" s="16"/>
      <c r="F27" s="16"/>
      <c r="G27" s="16"/>
      <c r="H27" s="16"/>
      <c r="I27" s="16"/>
      <c r="J27" s="16"/>
      <c r="K27" s="16"/>
      <c r="L27" s="16"/>
      <c r="M27" s="16"/>
      <c r="N27" s="16"/>
      <c r="O27" s="16"/>
      <c r="P27" s="16"/>
      <c r="Q27" s="16"/>
      <c r="R27" s="16"/>
      <c r="S27" s="16"/>
      <c r="T27" s="16"/>
      <c r="U27" s="16"/>
      <c r="V27" s="16"/>
      <c r="W27" s="16"/>
      <c r="X27" s="16"/>
      <c r="Y27" s="16"/>
    </row>
    <row r="28" spans="3:25">
      <c r="C28" s="5"/>
      <c r="D28" s="13"/>
      <c r="E28" s="16"/>
      <c r="F28" s="16"/>
      <c r="G28" s="16"/>
      <c r="H28" s="16"/>
      <c r="I28" s="16"/>
      <c r="J28" s="16"/>
      <c r="K28" s="16"/>
      <c r="L28" s="16"/>
      <c r="M28" s="16"/>
      <c r="N28" s="16"/>
      <c r="O28" s="16"/>
      <c r="P28" s="16"/>
      <c r="Q28" s="16"/>
      <c r="R28" s="16"/>
      <c r="S28" s="16"/>
      <c r="T28" s="16"/>
      <c r="U28" s="16"/>
      <c r="V28" s="16"/>
      <c r="W28" s="16"/>
      <c r="X28" s="16"/>
      <c r="Y28" s="16"/>
    </row>
    <row r="29" spans="3:25">
      <c r="C29" s="5"/>
      <c r="D29" s="13"/>
      <c r="E29" s="16"/>
      <c r="F29" s="16"/>
      <c r="G29" s="16"/>
      <c r="H29" s="16"/>
      <c r="I29" s="16"/>
      <c r="J29" s="16"/>
      <c r="K29" s="16"/>
      <c r="L29" s="16"/>
      <c r="M29" s="16"/>
      <c r="N29" s="16"/>
      <c r="O29" s="16"/>
      <c r="P29" s="16"/>
      <c r="Q29" s="16"/>
      <c r="R29" s="16"/>
      <c r="S29" s="16"/>
      <c r="T29" s="16"/>
      <c r="U29" s="16"/>
      <c r="V29" s="16"/>
      <c r="W29" s="16"/>
      <c r="X29" s="16"/>
      <c r="Y29" s="16"/>
    </row>
    <row r="30" spans="3:25">
      <c r="C30" s="5"/>
      <c r="D30" s="13"/>
      <c r="E30" s="16"/>
      <c r="F30" s="16"/>
      <c r="G30" s="16"/>
      <c r="H30" s="16"/>
      <c r="I30" s="16"/>
      <c r="J30" s="16"/>
      <c r="K30" s="16"/>
      <c r="L30" s="16"/>
      <c r="M30" s="16"/>
      <c r="N30" s="16"/>
      <c r="O30" s="16"/>
      <c r="P30" s="16"/>
      <c r="Q30" s="16"/>
      <c r="R30" s="16"/>
      <c r="S30" s="16"/>
      <c r="T30" s="16"/>
      <c r="U30" s="16"/>
      <c r="V30" s="16"/>
      <c r="W30" s="16"/>
      <c r="X30" s="16"/>
      <c r="Y30" s="16"/>
    </row>
    <row r="31" spans="3:25">
      <c r="C31" s="5"/>
      <c r="D31" s="13"/>
      <c r="E31" s="16"/>
      <c r="F31" s="16"/>
      <c r="G31" s="16"/>
      <c r="H31" s="16"/>
      <c r="I31" s="16"/>
      <c r="J31" s="16"/>
      <c r="K31" s="16"/>
      <c r="L31" s="16"/>
      <c r="M31" s="16"/>
      <c r="N31" s="16"/>
      <c r="O31" s="16"/>
      <c r="P31" s="16"/>
      <c r="Q31" s="16"/>
      <c r="R31" s="16"/>
      <c r="S31" s="16"/>
      <c r="T31" s="16"/>
      <c r="U31" s="16"/>
      <c r="V31" s="16"/>
      <c r="W31" s="16"/>
      <c r="X31" s="16"/>
      <c r="Y31" s="16"/>
    </row>
    <row r="32" spans="3:25">
      <c r="C32" s="5"/>
      <c r="D32" s="13"/>
      <c r="E32" s="16"/>
      <c r="F32" s="16"/>
      <c r="G32" s="16"/>
      <c r="H32" s="16"/>
      <c r="I32" s="16"/>
      <c r="J32" s="16"/>
      <c r="K32" s="16"/>
      <c r="L32" s="16"/>
      <c r="M32" s="16"/>
      <c r="N32" s="16"/>
      <c r="O32" s="16"/>
      <c r="P32" s="16"/>
      <c r="Q32" s="16"/>
      <c r="R32" s="16"/>
      <c r="S32" s="16"/>
      <c r="T32" s="16"/>
      <c r="U32" s="16"/>
      <c r="V32" s="16"/>
      <c r="W32" s="16"/>
      <c r="X32" s="16"/>
      <c r="Y32" s="16"/>
    </row>
    <row r="33" spans="3:25">
      <c r="C33" s="5"/>
      <c r="D33" s="13"/>
      <c r="E33" s="16"/>
      <c r="F33" s="16"/>
      <c r="G33" s="16"/>
      <c r="H33" s="16"/>
      <c r="I33" s="16"/>
      <c r="J33" s="16"/>
      <c r="K33" s="16"/>
      <c r="L33" s="16"/>
      <c r="M33" s="16"/>
      <c r="N33" s="16"/>
      <c r="O33" s="16"/>
      <c r="P33" s="16"/>
      <c r="Q33" s="16"/>
      <c r="R33" s="16"/>
      <c r="S33" s="16"/>
      <c r="T33" s="16"/>
      <c r="U33" s="16"/>
      <c r="V33" s="16"/>
      <c r="W33" s="16"/>
      <c r="X33" s="16"/>
      <c r="Y33" s="16"/>
    </row>
    <row r="34" spans="3:25">
      <c r="C34" s="5"/>
      <c r="D34" s="13"/>
      <c r="E34" s="16"/>
      <c r="F34" s="16"/>
      <c r="G34" s="16"/>
      <c r="H34" s="16"/>
      <c r="I34" s="16"/>
      <c r="J34" s="16"/>
      <c r="K34" s="16"/>
      <c r="L34" s="16"/>
      <c r="M34" s="16"/>
      <c r="N34" s="16"/>
      <c r="O34" s="16"/>
      <c r="P34" s="16"/>
      <c r="Q34" s="16"/>
      <c r="R34" s="16"/>
      <c r="S34" s="16"/>
      <c r="T34" s="16"/>
      <c r="U34" s="16"/>
      <c r="V34" s="16"/>
      <c r="W34" s="16"/>
      <c r="X34" s="16"/>
      <c r="Y34" s="16"/>
    </row>
    <row r="35" spans="3:25">
      <c r="C35" s="5"/>
      <c r="D35" s="13"/>
      <c r="E35" s="16"/>
      <c r="F35" s="16"/>
      <c r="G35" s="16"/>
      <c r="H35" s="16"/>
      <c r="I35" s="16"/>
      <c r="J35" s="16"/>
      <c r="K35" s="16"/>
      <c r="L35" s="16"/>
      <c r="M35" s="16"/>
      <c r="N35" s="16"/>
      <c r="O35" s="16"/>
      <c r="P35" s="16"/>
      <c r="Q35" s="16"/>
      <c r="R35" s="16"/>
      <c r="S35" s="16"/>
      <c r="T35" s="16"/>
      <c r="U35" s="16"/>
      <c r="V35" s="16"/>
      <c r="W35" s="16"/>
      <c r="X35" s="16"/>
      <c r="Y35" s="16"/>
    </row>
    <row r="36" spans="3:25">
      <c r="C36" s="5"/>
      <c r="D36" s="13"/>
      <c r="E36" s="16"/>
      <c r="F36" s="16"/>
      <c r="G36" s="16"/>
      <c r="H36" s="16"/>
      <c r="I36" s="16"/>
      <c r="J36" s="16"/>
      <c r="K36" s="16"/>
      <c r="L36" s="16"/>
      <c r="M36" s="16"/>
      <c r="N36" s="16"/>
      <c r="O36" s="16"/>
      <c r="P36" s="16"/>
      <c r="Q36" s="16"/>
      <c r="R36" s="16"/>
      <c r="S36" s="16"/>
      <c r="T36" s="16"/>
      <c r="U36" s="16"/>
      <c r="V36" s="16"/>
      <c r="W36" s="16"/>
      <c r="X36" s="16"/>
      <c r="Y36" s="16"/>
    </row>
    <row r="37" spans="3:25">
      <c r="C37" s="5"/>
      <c r="D37" s="13"/>
      <c r="E37" s="16"/>
      <c r="F37" s="16"/>
      <c r="G37" s="16"/>
      <c r="H37" s="16"/>
      <c r="I37" s="16"/>
      <c r="J37" s="16"/>
      <c r="K37" s="16"/>
      <c r="L37" s="16"/>
      <c r="M37" s="16"/>
      <c r="N37" s="16"/>
      <c r="O37" s="16"/>
      <c r="P37" s="16"/>
      <c r="Q37" s="16"/>
      <c r="R37" s="16"/>
      <c r="S37" s="16"/>
      <c r="T37" s="16"/>
      <c r="U37" s="16"/>
      <c r="V37" s="16"/>
      <c r="W37" s="16"/>
      <c r="X37" s="16"/>
      <c r="Y37" s="16"/>
    </row>
    <row r="38" spans="3:25">
      <c r="C38" s="5"/>
      <c r="D38" s="13"/>
      <c r="E38" s="16"/>
      <c r="F38" s="16"/>
      <c r="G38" s="16"/>
      <c r="H38" s="16"/>
      <c r="I38" s="16"/>
      <c r="J38" s="16"/>
      <c r="K38" s="16"/>
      <c r="L38" s="16"/>
      <c r="M38" s="16"/>
      <c r="N38" s="16"/>
      <c r="O38" s="16"/>
      <c r="P38" s="16"/>
      <c r="Q38" s="16"/>
      <c r="R38" s="16"/>
      <c r="S38" s="16"/>
      <c r="T38" s="16"/>
      <c r="U38" s="16"/>
      <c r="V38" s="16"/>
      <c r="W38" s="16"/>
      <c r="X38" s="16"/>
      <c r="Y38" s="16"/>
    </row>
    <row r="39" spans="3:25">
      <c r="C39" s="5"/>
      <c r="D39" s="13"/>
      <c r="E39" s="16"/>
      <c r="F39" s="16"/>
      <c r="G39" s="16"/>
      <c r="H39" s="16"/>
      <c r="I39" s="16"/>
      <c r="J39" s="16"/>
      <c r="K39" s="16"/>
      <c r="L39" s="16"/>
      <c r="M39" s="16"/>
      <c r="N39" s="16"/>
      <c r="O39" s="16"/>
      <c r="P39" s="16"/>
      <c r="Q39" s="16"/>
      <c r="R39" s="16"/>
      <c r="S39" s="16"/>
      <c r="T39" s="16"/>
      <c r="U39" s="16"/>
      <c r="V39" s="16"/>
      <c r="W39" s="16"/>
      <c r="X39" s="16"/>
      <c r="Y39" s="16"/>
    </row>
    <row r="40" spans="3:25">
      <c r="C40" s="5"/>
      <c r="D40" s="13"/>
      <c r="E40" s="16"/>
      <c r="F40" s="16"/>
      <c r="G40" s="16"/>
      <c r="H40" s="16"/>
      <c r="I40" s="16"/>
      <c r="J40" s="16"/>
      <c r="K40" s="16"/>
      <c r="L40" s="16"/>
      <c r="M40" s="16"/>
      <c r="N40" s="16"/>
      <c r="O40" s="16"/>
      <c r="P40" s="16"/>
      <c r="Q40" s="16"/>
      <c r="R40" s="16"/>
      <c r="S40" s="16"/>
      <c r="T40" s="16"/>
      <c r="U40" s="16"/>
      <c r="V40" s="16"/>
      <c r="W40" s="16"/>
      <c r="X40" s="16"/>
      <c r="Y40" s="16"/>
    </row>
    <row r="41" spans="3:25">
      <c r="C41" s="5"/>
      <c r="D41" s="13"/>
      <c r="E41" s="16"/>
      <c r="F41" s="16"/>
      <c r="G41" s="16"/>
      <c r="H41" s="16"/>
      <c r="I41" s="16"/>
      <c r="J41" s="16"/>
      <c r="K41" s="16"/>
      <c r="L41" s="16"/>
      <c r="M41" s="16"/>
      <c r="N41" s="16"/>
      <c r="O41" s="16"/>
      <c r="P41" s="16"/>
      <c r="Q41" s="16"/>
      <c r="R41" s="16"/>
      <c r="S41" s="16"/>
      <c r="T41" s="16"/>
      <c r="U41" s="16"/>
      <c r="V41" s="16"/>
      <c r="W41" s="16"/>
      <c r="X41" s="16"/>
      <c r="Y41" s="16"/>
    </row>
    <row r="42" spans="3:25">
      <c r="C42" s="5"/>
      <c r="D42" s="13"/>
      <c r="E42" s="16"/>
      <c r="F42" s="16"/>
      <c r="G42" s="16"/>
      <c r="H42" s="16"/>
      <c r="I42" s="16"/>
      <c r="J42" s="16"/>
      <c r="K42" s="16"/>
      <c r="L42" s="16"/>
      <c r="M42" s="16"/>
      <c r="N42" s="16"/>
      <c r="O42" s="16"/>
      <c r="P42" s="16"/>
      <c r="Q42" s="16"/>
      <c r="R42" s="16"/>
      <c r="S42" s="16"/>
      <c r="T42" s="16"/>
      <c r="U42" s="16"/>
      <c r="V42" s="16"/>
      <c r="W42" s="16"/>
      <c r="X42" s="16"/>
      <c r="Y42" s="16"/>
    </row>
    <row r="43" spans="3:25">
      <c r="C43" s="5"/>
      <c r="D43" s="13"/>
      <c r="E43" s="16"/>
      <c r="F43" s="16"/>
      <c r="G43" s="16"/>
      <c r="H43" s="16"/>
      <c r="I43" s="16"/>
      <c r="J43" s="16"/>
      <c r="K43" s="16"/>
      <c r="L43" s="16"/>
      <c r="M43" s="16"/>
      <c r="N43" s="16"/>
      <c r="O43" s="16"/>
      <c r="P43" s="16"/>
      <c r="Q43" s="16"/>
      <c r="R43" s="16"/>
      <c r="S43" s="16"/>
      <c r="T43" s="16"/>
      <c r="U43" s="16"/>
      <c r="V43" s="16"/>
      <c r="W43" s="16"/>
      <c r="X43" s="16"/>
      <c r="Y43" s="16"/>
    </row>
    <row r="44" spans="3:25">
      <c r="C44" s="5"/>
      <c r="D44" s="13"/>
      <c r="E44" s="16"/>
      <c r="F44" s="16"/>
      <c r="G44" s="16"/>
      <c r="H44" s="16"/>
      <c r="I44" s="16"/>
      <c r="J44" s="16"/>
      <c r="K44" s="16"/>
      <c r="L44" s="16"/>
      <c r="M44" s="16"/>
      <c r="N44" s="16"/>
      <c r="O44" s="16"/>
      <c r="P44" s="16"/>
      <c r="Q44" s="16"/>
      <c r="R44" s="16"/>
      <c r="S44" s="16"/>
      <c r="T44" s="16"/>
      <c r="U44" s="16"/>
      <c r="V44" s="16"/>
      <c r="W44" s="16"/>
      <c r="X44" s="16"/>
      <c r="Y44" s="16"/>
    </row>
    <row r="45" spans="3:25">
      <c r="C45" s="5"/>
      <c r="D45" s="13"/>
      <c r="E45" s="16"/>
      <c r="F45" s="16"/>
      <c r="G45" s="16"/>
      <c r="H45" s="16"/>
      <c r="I45" s="16"/>
      <c r="J45" s="16"/>
      <c r="K45" s="16"/>
      <c r="L45" s="16"/>
      <c r="M45" s="16"/>
      <c r="N45" s="16"/>
      <c r="O45" s="16"/>
      <c r="P45" s="16"/>
      <c r="Q45" s="16"/>
      <c r="R45" s="16"/>
      <c r="S45" s="16"/>
      <c r="T45" s="16"/>
      <c r="U45" s="16"/>
      <c r="V45" s="16"/>
      <c r="W45" s="16"/>
      <c r="X45" s="16"/>
      <c r="Y45" s="16"/>
    </row>
    <row r="46" spans="3:25">
      <c r="C46" s="5"/>
      <c r="D46" s="13"/>
      <c r="E46" s="16"/>
      <c r="F46" s="16"/>
      <c r="G46" s="16"/>
      <c r="H46" s="16"/>
      <c r="I46" s="16"/>
      <c r="J46" s="16"/>
      <c r="K46" s="16"/>
      <c r="L46" s="16"/>
      <c r="M46" s="16"/>
      <c r="N46" s="16"/>
      <c r="O46" s="16"/>
      <c r="P46" s="16"/>
      <c r="Q46" s="16"/>
      <c r="R46" s="16"/>
      <c r="S46" s="16"/>
      <c r="T46" s="16"/>
      <c r="U46" s="16"/>
      <c r="V46" s="16"/>
      <c r="W46" s="16"/>
      <c r="X46" s="16"/>
      <c r="Y46" s="16"/>
    </row>
    <row r="47" spans="3:25">
      <c r="C47" s="5"/>
      <c r="D47" s="13"/>
      <c r="E47" s="16"/>
      <c r="F47" s="16"/>
      <c r="G47" s="16"/>
      <c r="H47" s="16"/>
      <c r="I47" s="16"/>
      <c r="J47" s="16"/>
      <c r="K47" s="16"/>
      <c r="L47" s="16"/>
      <c r="M47" s="16"/>
      <c r="N47" s="16"/>
      <c r="O47" s="16"/>
      <c r="P47" s="16"/>
      <c r="Q47" s="16"/>
      <c r="R47" s="16"/>
      <c r="S47" s="16"/>
      <c r="T47" s="16"/>
      <c r="U47" s="16"/>
      <c r="V47" s="16"/>
      <c r="W47" s="16"/>
      <c r="X47" s="16"/>
      <c r="Y47" s="16"/>
    </row>
    <row r="48" spans="3:25">
      <c r="C48" s="5"/>
      <c r="D48" s="13"/>
      <c r="E48" s="16"/>
      <c r="F48" s="16"/>
      <c r="G48" s="16"/>
      <c r="H48" s="16"/>
      <c r="I48" s="16"/>
      <c r="J48" s="16"/>
      <c r="K48" s="16"/>
      <c r="L48" s="16"/>
      <c r="M48" s="16"/>
      <c r="N48" s="16"/>
      <c r="O48" s="16"/>
      <c r="P48" s="16"/>
      <c r="Q48" s="16"/>
      <c r="R48" s="16"/>
      <c r="S48" s="16"/>
      <c r="T48" s="16"/>
      <c r="U48" s="16"/>
      <c r="V48" s="16"/>
      <c r="W48" s="16"/>
      <c r="X48" s="16"/>
      <c r="Y48" s="16"/>
    </row>
    <row r="49" spans="3:25">
      <c r="C49" s="5"/>
      <c r="D49" s="13"/>
      <c r="E49" s="16"/>
      <c r="F49" s="16"/>
      <c r="G49" s="16"/>
      <c r="H49" s="16"/>
      <c r="I49" s="16"/>
      <c r="J49" s="16"/>
      <c r="K49" s="16"/>
      <c r="L49" s="16"/>
      <c r="M49" s="16"/>
      <c r="N49" s="16"/>
      <c r="O49" s="16"/>
      <c r="P49" s="16"/>
      <c r="Q49" s="16"/>
      <c r="R49" s="16"/>
      <c r="S49" s="16"/>
      <c r="T49" s="16"/>
      <c r="U49" s="16"/>
      <c r="V49" s="16"/>
      <c r="W49" s="16"/>
      <c r="X49" s="16"/>
      <c r="Y49" s="16"/>
    </row>
    <row r="50" spans="3:25">
      <c r="C50" s="5"/>
      <c r="D50" s="13"/>
      <c r="E50" s="16"/>
      <c r="F50" s="16"/>
      <c r="G50" s="16"/>
      <c r="H50" s="16"/>
      <c r="I50" s="16"/>
      <c r="J50" s="16"/>
      <c r="K50" s="16"/>
      <c r="L50" s="16"/>
      <c r="M50" s="16"/>
      <c r="N50" s="16"/>
      <c r="O50" s="16"/>
      <c r="P50" s="16"/>
      <c r="Q50" s="16"/>
      <c r="R50" s="16"/>
      <c r="S50" s="16"/>
      <c r="T50" s="16"/>
      <c r="U50" s="16"/>
      <c r="V50" s="16"/>
      <c r="W50" s="16"/>
      <c r="X50" s="16"/>
      <c r="Y50" s="16"/>
    </row>
    <row r="51" spans="3:25">
      <c r="C51" s="5"/>
      <c r="D51" s="13"/>
      <c r="E51" s="16"/>
      <c r="F51" s="16"/>
      <c r="G51" s="16"/>
      <c r="H51" s="16"/>
      <c r="I51" s="16"/>
      <c r="J51" s="16"/>
      <c r="K51" s="16"/>
      <c r="L51" s="16"/>
      <c r="M51" s="16"/>
      <c r="N51" s="16"/>
      <c r="O51" s="16"/>
      <c r="P51" s="16"/>
      <c r="Q51" s="16"/>
      <c r="R51" s="16"/>
      <c r="S51" s="16"/>
      <c r="T51" s="16"/>
      <c r="U51" s="16"/>
      <c r="V51" s="16"/>
      <c r="W51" s="16"/>
      <c r="X51" s="16"/>
      <c r="Y51" s="16"/>
    </row>
    <row r="52" spans="3:25">
      <c r="C52" s="5"/>
      <c r="D52" s="13"/>
      <c r="E52" s="16"/>
      <c r="F52" s="16"/>
      <c r="G52" s="16"/>
      <c r="H52" s="16"/>
      <c r="I52" s="16"/>
      <c r="J52" s="16"/>
      <c r="K52" s="16"/>
      <c r="L52" s="16"/>
      <c r="M52" s="16"/>
      <c r="N52" s="16"/>
      <c r="O52" s="16"/>
      <c r="P52" s="16"/>
      <c r="Q52" s="16"/>
      <c r="R52" s="16"/>
      <c r="S52" s="16"/>
      <c r="T52" s="16"/>
      <c r="U52" s="16"/>
      <c r="V52" s="16"/>
      <c r="W52" s="16"/>
      <c r="X52" s="16"/>
      <c r="Y52" s="16"/>
    </row>
    <row r="53" spans="3:25">
      <c r="C53" s="5"/>
      <c r="D53" s="13"/>
      <c r="E53" s="16"/>
      <c r="F53" s="16"/>
      <c r="G53" s="16"/>
      <c r="H53" s="16"/>
      <c r="I53" s="16"/>
      <c r="J53" s="16"/>
      <c r="K53" s="16"/>
      <c r="L53" s="16"/>
      <c r="M53" s="16"/>
      <c r="N53" s="16"/>
      <c r="O53" s="16"/>
      <c r="P53" s="16"/>
      <c r="Q53" s="16"/>
      <c r="R53" s="16"/>
      <c r="S53" s="16"/>
      <c r="T53" s="16"/>
      <c r="U53" s="16"/>
      <c r="V53" s="16"/>
      <c r="W53" s="16"/>
      <c r="X53" s="16"/>
      <c r="Y53" s="16"/>
    </row>
    <row r="54" spans="3:25">
      <c r="C54" s="5"/>
      <c r="D54" s="13"/>
      <c r="E54" s="16"/>
      <c r="F54" s="16"/>
      <c r="G54" s="16"/>
      <c r="H54" s="16"/>
      <c r="I54" s="16"/>
      <c r="J54" s="16"/>
      <c r="K54" s="16"/>
      <c r="L54" s="16"/>
      <c r="M54" s="16"/>
      <c r="N54" s="16"/>
      <c r="O54" s="16"/>
      <c r="P54" s="16"/>
      <c r="Q54" s="16"/>
      <c r="R54" s="16"/>
      <c r="S54" s="16"/>
      <c r="T54" s="16"/>
      <c r="U54" s="16"/>
      <c r="V54" s="16"/>
      <c r="W54" s="16"/>
      <c r="X54" s="16"/>
      <c r="Y54" s="16"/>
    </row>
    <row r="55" spans="3:25">
      <c r="C55" s="5"/>
      <c r="D55" s="13"/>
      <c r="E55" s="16"/>
      <c r="F55" s="16"/>
      <c r="G55" s="16"/>
      <c r="H55" s="16"/>
      <c r="I55" s="16"/>
      <c r="J55" s="16"/>
      <c r="K55" s="16"/>
      <c r="L55" s="16"/>
      <c r="M55" s="16"/>
      <c r="N55" s="16"/>
      <c r="O55" s="16"/>
      <c r="P55" s="16"/>
      <c r="Q55" s="16"/>
      <c r="R55" s="16"/>
      <c r="S55" s="16"/>
      <c r="T55" s="16"/>
      <c r="U55" s="16"/>
      <c r="V55" s="16"/>
      <c r="W55" s="16"/>
      <c r="X55" s="16"/>
      <c r="Y55" s="16"/>
    </row>
    <row r="56" spans="3:25">
      <c r="C56" s="5"/>
      <c r="D56" s="13"/>
      <c r="E56" s="16"/>
      <c r="F56" s="16"/>
      <c r="G56" s="16"/>
      <c r="H56" s="16"/>
      <c r="I56" s="16"/>
      <c r="J56" s="16"/>
      <c r="K56" s="16"/>
      <c r="L56" s="16"/>
      <c r="M56" s="16"/>
      <c r="N56" s="16"/>
      <c r="O56" s="16"/>
      <c r="P56" s="16"/>
      <c r="Q56" s="16"/>
      <c r="R56" s="16"/>
      <c r="S56" s="16"/>
      <c r="T56" s="16"/>
      <c r="U56" s="16"/>
      <c r="V56" s="16"/>
      <c r="W56" s="16"/>
      <c r="X56" s="16"/>
      <c r="Y56" s="16"/>
    </row>
    <row r="57" spans="3:25">
      <c r="C57" s="5"/>
      <c r="D57" s="13"/>
      <c r="E57" s="16"/>
      <c r="F57" s="16"/>
      <c r="G57" s="16"/>
      <c r="H57" s="16"/>
      <c r="I57" s="16"/>
      <c r="J57" s="16"/>
      <c r="K57" s="16"/>
      <c r="L57" s="16"/>
      <c r="M57" s="16"/>
      <c r="N57" s="16"/>
      <c r="O57" s="16"/>
      <c r="P57" s="16"/>
      <c r="Q57" s="16"/>
      <c r="R57" s="16"/>
      <c r="S57" s="16"/>
      <c r="T57" s="16"/>
      <c r="U57" s="16"/>
      <c r="V57" s="16"/>
      <c r="W57" s="16"/>
      <c r="X57" s="16"/>
      <c r="Y57" s="16"/>
    </row>
    <row r="58" spans="3:25">
      <c r="C58" s="5"/>
      <c r="D58" s="13"/>
      <c r="E58" s="16"/>
      <c r="F58" s="16"/>
      <c r="G58" s="16"/>
      <c r="H58" s="16"/>
      <c r="I58" s="16"/>
      <c r="J58" s="16"/>
      <c r="K58" s="16"/>
      <c r="L58" s="16"/>
      <c r="M58" s="16"/>
      <c r="N58" s="16"/>
      <c r="O58" s="16"/>
      <c r="P58" s="16"/>
      <c r="Q58" s="16"/>
      <c r="R58" s="16"/>
      <c r="S58" s="16"/>
      <c r="T58" s="16"/>
      <c r="U58" s="16"/>
      <c r="V58" s="16"/>
      <c r="W58" s="16"/>
      <c r="X58" s="16"/>
      <c r="Y58" s="16"/>
    </row>
    <row r="59" spans="3:25">
      <c r="C59" s="5"/>
      <c r="D59" s="13"/>
      <c r="E59" s="16"/>
      <c r="F59" s="16"/>
      <c r="G59" s="16"/>
      <c r="H59" s="16"/>
      <c r="I59" s="16"/>
      <c r="J59" s="16"/>
      <c r="K59" s="16"/>
      <c r="L59" s="16"/>
      <c r="M59" s="16"/>
      <c r="N59" s="16"/>
      <c r="O59" s="16"/>
      <c r="P59" s="16"/>
      <c r="Q59" s="16"/>
      <c r="R59" s="16"/>
      <c r="S59" s="16"/>
      <c r="T59" s="16"/>
      <c r="U59" s="16"/>
      <c r="V59" s="16"/>
      <c r="W59" s="16"/>
      <c r="X59" s="16"/>
      <c r="Y59" s="16"/>
    </row>
    <row r="60" spans="3:25">
      <c r="C60" s="5"/>
      <c r="D60" s="13"/>
      <c r="E60" s="16"/>
      <c r="F60" s="16"/>
      <c r="G60" s="16"/>
      <c r="H60" s="16"/>
      <c r="I60" s="16"/>
      <c r="J60" s="16"/>
      <c r="K60" s="16"/>
      <c r="L60" s="16"/>
      <c r="M60" s="16"/>
      <c r="N60" s="16"/>
      <c r="O60" s="16"/>
      <c r="P60" s="16"/>
      <c r="Q60" s="16"/>
      <c r="R60" s="16"/>
      <c r="S60" s="16"/>
      <c r="T60" s="16"/>
      <c r="U60" s="16"/>
      <c r="V60" s="16"/>
      <c r="W60" s="16"/>
      <c r="X60" s="16"/>
      <c r="Y60" s="16"/>
    </row>
    <row r="61" spans="3:25">
      <c r="C61" s="5"/>
      <c r="D61" s="13"/>
      <c r="E61" s="16"/>
      <c r="F61" s="16"/>
      <c r="G61" s="16"/>
      <c r="H61" s="16"/>
      <c r="I61" s="16"/>
      <c r="J61" s="16"/>
      <c r="K61" s="16"/>
      <c r="L61" s="16"/>
      <c r="M61" s="16"/>
      <c r="N61" s="16"/>
      <c r="O61" s="16"/>
      <c r="P61" s="16"/>
      <c r="Q61" s="16"/>
      <c r="R61" s="16"/>
      <c r="S61" s="16"/>
      <c r="T61" s="16"/>
      <c r="U61" s="16"/>
      <c r="V61" s="16"/>
      <c r="W61" s="16"/>
      <c r="X61" s="16"/>
      <c r="Y61" s="16"/>
    </row>
    <row r="62" spans="3:25">
      <c r="E62" s="16"/>
      <c r="F62" s="16"/>
      <c r="G62" s="16"/>
      <c r="H62" s="16"/>
      <c r="I62" s="16"/>
      <c r="J62" s="16"/>
      <c r="K62" s="16"/>
      <c r="L62" s="16"/>
      <c r="M62" s="16"/>
      <c r="N62" s="16"/>
      <c r="O62" s="16"/>
      <c r="P62" s="16"/>
      <c r="Q62" s="16"/>
      <c r="R62" s="16"/>
      <c r="S62" s="16"/>
      <c r="T62" s="16"/>
      <c r="U62" s="16"/>
      <c r="V62" s="16"/>
      <c r="W62" s="16"/>
      <c r="X62" s="16"/>
      <c r="Y62" s="16"/>
    </row>
  </sheetData>
  <mergeCells count="2">
    <mergeCell ref="D1:N1"/>
    <mergeCell ref="O1:Y1"/>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20D41A-75E2-44AC-8263-239D2EE955FA}">
  <sheetPr codeName="Sheet2"/>
  <dimension ref="A20:O30"/>
  <sheetViews>
    <sheetView showGridLines="0" showRowColHeaders="0" zoomScale="73" zoomScaleNormal="73" workbookViewId="0">
      <selection activeCell="U11" sqref="U11"/>
    </sheetView>
  </sheetViews>
  <sheetFormatPr defaultRowHeight="17.25"/>
  <cols>
    <col min="1" max="1" width="1" style="71" customWidth="1"/>
    <col min="12" max="12" width="14" bestFit="1" customWidth="1"/>
    <col min="13" max="13" width="8.5" bestFit="1" customWidth="1"/>
    <col min="14" max="14" width="8" bestFit="1" customWidth="1"/>
    <col min="15" max="15" width="16.5" bestFit="1" customWidth="1"/>
  </cols>
  <sheetData>
    <row r="20" spans="12:15">
      <c r="L20" s="57" t="s">
        <v>4</v>
      </c>
      <c r="M20" s="57" t="s">
        <v>5</v>
      </c>
      <c r="O20" s="59"/>
    </row>
    <row r="21" spans="12:15">
      <c r="L21" s="57" t="s">
        <v>6</v>
      </c>
      <c r="M21" t="s">
        <v>7</v>
      </c>
      <c r="N21" t="s">
        <v>8</v>
      </c>
      <c r="O21" s="59" t="s">
        <v>9</v>
      </c>
    </row>
    <row r="22" spans="12:15">
      <c r="L22" s="6" t="s">
        <v>10</v>
      </c>
      <c r="N22">
        <v>73920</v>
      </c>
      <c r="O22" s="45">
        <f>GETPIVOTDATA("Amount ",$L$20,"Prop Name","Jennifer","Type","Income")-GETPIVOTDATA("Amount ",$L$20,"Prop Name","Jennifer","Type","Expence")</f>
        <v>-84569</v>
      </c>
    </row>
    <row r="23" spans="12:15">
      <c r="L23" s="6" t="s">
        <v>11</v>
      </c>
      <c r="M23">
        <v>278089</v>
      </c>
      <c r="N23">
        <v>193520</v>
      </c>
      <c r="O23" s="45">
        <f>GETPIVOTDATA("Amount ",$L$20,"Prop Name","JM ","Type","Income")-GETPIVOTDATA("Amount ",$L$20,"Prop Name","JM ","Type","Expence")</f>
        <v>176296</v>
      </c>
    </row>
    <row r="24" spans="12:15">
      <c r="L24" s="6" t="s">
        <v>12</v>
      </c>
      <c r="N24">
        <v>176296</v>
      </c>
      <c r="O24" s="45">
        <f>GETPIVOTDATA("Amount ",$L$20,"Prop Name","Jennifer","Type","Income")-GETPIVOTDATA("Amount ",$L$20,"Prop Name","Jennifer","Type","Expence")</f>
        <v>-84569</v>
      </c>
    </row>
    <row r="25" spans="12:15">
      <c r="L25" s="6" t="s">
        <v>13</v>
      </c>
      <c r="N25">
        <v>92696</v>
      </c>
      <c r="O25" s="45">
        <f>GETPIVOTDATA("Amount ",$L$20,"Prop Name","Maria ","Type","Income")-GETPIVOTDATA("Amount ",$L$20,"Prop Name","Maria ","Type","Expence")</f>
        <v>92696</v>
      </c>
    </row>
    <row r="26" spans="12:15">
      <c r="L26" s="6" t="s">
        <v>14</v>
      </c>
      <c r="N26">
        <v>88205</v>
      </c>
      <c r="O26" s="45">
        <f>GETPIVOTDATA("Amount ",$L$20,"Prop Name","Maria ","Type","Income")-GETPIVOTDATA("Amount ",$L$20,"Prop Name","Maria ","Type","Expence")</f>
        <v>92696</v>
      </c>
    </row>
    <row r="27" spans="12:15">
      <c r="L27" s="6" t="s">
        <v>15</v>
      </c>
      <c r="M27">
        <v>80104</v>
      </c>
      <c r="N27">
        <v>277052</v>
      </c>
      <c r="O27" s="45">
        <f>N27-M27</f>
        <v>196948</v>
      </c>
    </row>
    <row r="28" spans="12:15">
      <c r="O28" s="45">
        <f>N28-M28</f>
        <v>0</v>
      </c>
    </row>
    <row r="29" spans="12:15">
      <c r="O29" s="45">
        <f>N29-M29</f>
        <v>0</v>
      </c>
    </row>
    <row r="30" spans="12:15">
      <c r="O30" s="45">
        <f>N30-M30</f>
        <v>0</v>
      </c>
    </row>
  </sheetData>
  <pageMargins left="0.7" right="0.7" top="0.75" bottom="0.75" header="0.3" footer="0.3"/>
  <ignoredErrors>
    <ignoredError sqref="O23" formula="1"/>
  </ignoredErrors>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706B96-8F2F-4845-BE7B-6C6349CD3C83}">
  <sheetPr codeName="Properties"/>
  <dimension ref="A1:M142"/>
  <sheetViews>
    <sheetView showGridLines="0" showRowColHeaders="0" zoomScale="130" zoomScaleNormal="130" workbookViewId="0">
      <selection activeCell="I16" sqref="I16"/>
    </sheetView>
  </sheetViews>
  <sheetFormatPr defaultColWidth="9" defaultRowHeight="17.25"/>
  <cols>
    <col min="1" max="1" width="15.75" style="17" customWidth="1"/>
    <col min="2" max="2" width="5.25" style="17" customWidth="1"/>
    <col min="3" max="3" width="3.625" style="1" customWidth="1"/>
    <col min="4" max="4" width="15.125" style="6" customWidth="1"/>
    <col min="5" max="5" width="16.875" style="1" customWidth="1"/>
    <col min="6" max="6" width="9" style="1"/>
    <col min="7" max="7" width="17.625" style="1" customWidth="1"/>
    <col min="8" max="8" width="11.5" style="1" customWidth="1"/>
    <col min="9" max="9" width="23.75" style="1" customWidth="1"/>
    <col min="10" max="10" width="1.75" style="1" customWidth="1"/>
    <col min="11" max="11" width="9.75" style="1" customWidth="1"/>
    <col min="12" max="12" width="5.875" style="1" customWidth="1"/>
    <col min="13" max="13" width="0.5" style="1" customWidth="1"/>
    <col min="14" max="16384" width="9" style="1"/>
  </cols>
  <sheetData>
    <row r="1" spans="1:13" ht="32.25" customHeight="1">
      <c r="C1" s="80" t="s">
        <v>16</v>
      </c>
      <c r="D1" s="80"/>
      <c r="E1" s="80"/>
      <c r="F1" s="80"/>
      <c r="G1" s="80"/>
      <c r="H1" s="80"/>
      <c r="I1" s="80"/>
      <c r="J1" s="80"/>
      <c r="K1" s="80"/>
      <c r="L1" s="80"/>
    </row>
    <row r="2" spans="1:13" ht="10.5" customHeight="1">
      <c r="C2" s="2"/>
      <c r="D2" s="4"/>
      <c r="E2" s="2"/>
      <c r="F2" s="2"/>
      <c r="G2" s="2"/>
      <c r="H2" s="2"/>
      <c r="I2" s="2"/>
      <c r="J2" s="2"/>
      <c r="K2" s="2"/>
      <c r="L2" s="2"/>
    </row>
    <row r="3" spans="1:13" ht="18" thickBot="1">
      <c r="C3" s="3"/>
      <c r="D3" s="5"/>
      <c r="E3" s="3"/>
      <c r="F3" s="3"/>
      <c r="G3" s="3"/>
      <c r="H3" s="3"/>
      <c r="I3" s="3"/>
      <c r="J3" s="3"/>
      <c r="K3" s="3"/>
      <c r="L3" s="3"/>
    </row>
    <row r="4" spans="1:13" ht="18" thickBot="1">
      <c r="A4" s="19" t="s">
        <v>17</v>
      </c>
      <c r="B4" s="20">
        <f ca="1">IFERROR(INDEX(Prop_ID,MATCH(E4,Property_Name,0),1)+2,"")</f>
        <v>4</v>
      </c>
      <c r="C4" s="3"/>
      <c r="D4" s="8" t="s">
        <v>18</v>
      </c>
      <c r="E4" s="16" t="s">
        <v>19</v>
      </c>
      <c r="F4" s="3"/>
      <c r="G4" s="8" t="s">
        <v>20</v>
      </c>
      <c r="H4" s="84">
        <v>2</v>
      </c>
      <c r="I4" s="85"/>
      <c r="J4" s="3"/>
      <c r="K4" s="3"/>
      <c r="L4" s="3"/>
    </row>
    <row r="5" spans="1:13" ht="18" thickBot="1">
      <c r="A5" s="19" t="s">
        <v>21</v>
      </c>
      <c r="B5" s="20">
        <f ca="1">IFERROR(MATCH(H4,Prop_ID,0)+3,"")</f>
        <v>4</v>
      </c>
      <c r="C5" s="3"/>
      <c r="D5" s="5"/>
      <c r="E5" s="3"/>
      <c r="F5" s="3"/>
      <c r="G5" s="3"/>
      <c r="H5" s="3"/>
      <c r="I5" s="3"/>
      <c r="J5" s="3"/>
      <c r="K5" s="3"/>
      <c r="L5" s="3"/>
    </row>
    <row r="6" spans="1:13" ht="18" thickBot="1">
      <c r="A6" s="21" t="s">
        <v>22</v>
      </c>
      <c r="B6" s="20">
        <f ca="1">IFERROR(MAX(Prop_ID)+1,1)</f>
        <v>79</v>
      </c>
      <c r="C6" s="3"/>
      <c r="D6" s="8" t="s">
        <v>23</v>
      </c>
      <c r="E6" s="16" t="s">
        <v>19</v>
      </c>
      <c r="F6" s="8" t="s">
        <v>24</v>
      </c>
      <c r="G6" s="16" t="s">
        <v>25</v>
      </c>
      <c r="H6" s="8" t="s">
        <v>26</v>
      </c>
      <c r="I6" s="30">
        <v>44006</v>
      </c>
      <c r="J6" s="3"/>
      <c r="K6" s="3"/>
      <c r="L6" s="3"/>
    </row>
    <row r="7" spans="1:13" ht="18" thickBot="1">
      <c r="A7" s="77" t="s">
        <v>27</v>
      </c>
      <c r="B7" s="78">
        <f ca="1">IFERROR(MAX(Attach_ID)+1,1)</f>
        <v>1</v>
      </c>
      <c r="C7" s="3"/>
      <c r="D7" s="5"/>
      <c r="E7" s="3"/>
      <c r="F7" s="3"/>
      <c r="G7" s="3"/>
      <c r="H7" s="3"/>
      <c r="I7" s="3"/>
      <c r="J7" s="3"/>
      <c r="K7" s="3"/>
      <c r="L7" s="3"/>
    </row>
    <row r="8" spans="1:13" ht="18" thickBot="1">
      <c r="C8" s="3"/>
      <c r="D8" s="8" t="s">
        <v>28</v>
      </c>
      <c r="E8" s="82" t="s">
        <v>29</v>
      </c>
      <c r="F8" s="83"/>
      <c r="G8" s="83"/>
      <c r="H8" s="83"/>
      <c r="I8" s="83"/>
      <c r="J8" s="3"/>
      <c r="K8" s="3"/>
      <c r="L8" s="3"/>
    </row>
    <row r="9" spans="1:13" ht="18" thickBot="1">
      <c r="C9" s="3"/>
      <c r="D9" s="5"/>
      <c r="E9" s="3"/>
      <c r="F9" s="3"/>
      <c r="G9" s="3"/>
      <c r="H9" s="3"/>
      <c r="I9" s="3"/>
      <c r="J9" s="3"/>
      <c r="K9" s="3"/>
      <c r="L9" s="3"/>
    </row>
    <row r="10" spans="1:13" ht="18" thickBot="1">
      <c r="C10" s="3"/>
      <c r="D10" s="8" t="s">
        <v>30</v>
      </c>
      <c r="E10" s="16" t="s">
        <v>31</v>
      </c>
      <c r="F10" s="8" t="s">
        <v>32</v>
      </c>
      <c r="G10" s="24">
        <v>5462089463283</v>
      </c>
      <c r="H10" s="8" t="s">
        <v>33</v>
      </c>
      <c r="I10" s="22" t="s">
        <v>34</v>
      </c>
      <c r="J10" s="3"/>
      <c r="K10" s="3"/>
      <c r="L10" s="3"/>
    </row>
    <row r="11" spans="1:13" ht="18" thickBot="1">
      <c r="C11" s="3"/>
      <c r="D11" s="5"/>
      <c r="E11" s="3"/>
      <c r="F11" s="3"/>
      <c r="G11" s="3"/>
      <c r="H11" s="3"/>
      <c r="I11" s="3"/>
      <c r="J11" s="3"/>
      <c r="K11" s="3"/>
      <c r="L11" s="3"/>
      <c r="M11" s="23" t="b">
        <f>AND(ISERROR(FIND(" ",I10)),LEN(I10)-LEN(SUBSTITUTE(I10,"@",""))=1,IFERROR(SEARCH("@",I10)&lt;SEARCH(".",I10,SEARCH("@",I10)),0),NOT(IFERROR(SEARCH("@",I10),0)=1),NOT(IFERROR(SEARCH(".",I10,SEARCH("@",I10))-SEARCH("@",I10),0)=1),LEFT(I10,1)&lt;&gt;".",RIGHT(I10,1)&lt;&gt;".")</f>
        <v>1</v>
      </c>
    </row>
    <row r="12" spans="1:13" ht="18" thickBot="1">
      <c r="C12" s="3"/>
      <c r="D12" s="8" t="s">
        <v>35</v>
      </c>
      <c r="E12" s="16" t="s">
        <v>31</v>
      </c>
      <c r="F12" s="8" t="s">
        <v>32</v>
      </c>
      <c r="G12" s="24">
        <v>7827516809246</v>
      </c>
      <c r="H12" s="8" t="s">
        <v>33</v>
      </c>
      <c r="I12" s="22" t="s">
        <v>34</v>
      </c>
      <c r="J12" s="3"/>
      <c r="K12" s="3"/>
      <c r="L12" s="3"/>
    </row>
    <row r="13" spans="1:13">
      <c r="C13" s="3"/>
      <c r="D13" s="5"/>
      <c r="E13" s="3"/>
      <c r="F13" s="3"/>
      <c r="G13" s="3"/>
      <c r="H13" s="3"/>
      <c r="I13" s="3"/>
      <c r="J13" s="3"/>
      <c r="K13" s="3"/>
      <c r="L13" s="3"/>
      <c r="M13" s="23" t="e">
        <f>AND(ISERROR(FIND(" ",#REF!)),LEN(#REF!)-LEN(SUBSTITUTE(#REF!,"@",""))=1,IFERROR(SEARCH("@",#REF!)&lt;SEARCH(".",#REF!,SEARCH("@",#REF!)),0),NOT(IFERROR(SEARCH("@",#REF!),0)=1),NOT(IFERROR(SEARCH(".",#REF!,SEARCH("@",#REF!))-SEARCH("@",#REF!),0)=1),LEFT(#REF!,1)&lt;&gt;".",RIGHT(#REF!,1)&lt;&gt;".")</f>
        <v>#REF!</v>
      </c>
    </row>
    <row r="14" spans="1:13">
      <c r="C14" s="3"/>
      <c r="D14" s="5"/>
      <c r="E14" s="3"/>
      <c r="F14" s="3"/>
      <c r="G14" s="3"/>
      <c r="H14" s="3"/>
      <c r="I14" s="3"/>
      <c r="J14" s="3"/>
      <c r="K14" s="3"/>
      <c r="L14" s="3"/>
    </row>
    <row r="15" spans="1:13">
      <c r="C15" s="3"/>
      <c r="D15" s="5"/>
      <c r="E15" s="3"/>
      <c r="F15" s="3"/>
      <c r="G15" s="3"/>
      <c r="H15" s="3"/>
      <c r="I15" s="3"/>
      <c r="J15" s="3"/>
      <c r="K15" s="3"/>
      <c r="L15" s="3"/>
    </row>
    <row r="16" spans="1:13">
      <c r="C16" s="3"/>
      <c r="D16" s="5"/>
      <c r="E16" s="3"/>
      <c r="F16" s="3"/>
      <c r="G16" s="3"/>
      <c r="H16" s="3"/>
      <c r="I16" s="3"/>
      <c r="J16" s="3"/>
      <c r="K16" s="3"/>
      <c r="L16" s="3"/>
    </row>
    <row r="17" spans="3:12">
      <c r="C17" s="3"/>
      <c r="D17" s="5"/>
      <c r="E17" s="3"/>
      <c r="F17" s="3"/>
      <c r="G17" s="3"/>
      <c r="H17" s="3"/>
      <c r="I17" s="3"/>
      <c r="J17" s="3"/>
      <c r="K17" s="3"/>
      <c r="L17" s="3"/>
    </row>
    <row r="18" spans="3:12">
      <c r="C18" s="3"/>
      <c r="D18" s="5"/>
      <c r="E18" s="3"/>
      <c r="F18" s="3"/>
      <c r="G18" s="3"/>
      <c r="H18" s="3"/>
      <c r="I18" s="3"/>
      <c r="J18" s="3"/>
      <c r="K18" s="3"/>
      <c r="L18" s="3"/>
    </row>
    <row r="19" spans="3:12">
      <c r="C19" s="3"/>
      <c r="D19" s="5"/>
      <c r="E19" s="3"/>
      <c r="F19" s="3"/>
      <c r="G19" s="3"/>
      <c r="H19" s="3"/>
      <c r="I19" s="3"/>
      <c r="J19" s="3"/>
      <c r="K19" s="3"/>
      <c r="L19" s="3"/>
    </row>
    <row r="20" spans="3:12">
      <c r="C20" s="3"/>
      <c r="D20" s="5"/>
      <c r="E20" s="3"/>
      <c r="F20" s="3"/>
      <c r="G20" s="3"/>
      <c r="H20" s="3"/>
      <c r="I20" s="3"/>
      <c r="J20" s="3"/>
      <c r="K20" s="3"/>
      <c r="L20" s="3"/>
    </row>
    <row r="21" spans="3:12">
      <c r="C21" s="3"/>
      <c r="D21" s="5"/>
      <c r="E21" s="3"/>
      <c r="F21" s="3"/>
      <c r="G21" s="3"/>
      <c r="H21" s="3"/>
      <c r="I21" s="3"/>
      <c r="J21" s="3"/>
      <c r="K21" s="3"/>
      <c r="L21" s="3"/>
    </row>
    <row r="22" spans="3:12">
      <c r="C22" s="3"/>
      <c r="D22" s="5"/>
      <c r="E22" s="3"/>
      <c r="F22" s="3"/>
      <c r="G22" s="3"/>
      <c r="H22" s="3"/>
      <c r="I22" s="3"/>
      <c r="J22" s="3"/>
      <c r="K22" s="3"/>
      <c r="L22" s="3"/>
    </row>
    <row r="23" spans="3:12">
      <c r="C23" s="3"/>
      <c r="D23" s="5"/>
      <c r="E23" s="3"/>
      <c r="F23" s="3"/>
      <c r="G23" s="3"/>
      <c r="H23" s="3"/>
      <c r="I23" s="3"/>
      <c r="J23" s="3"/>
      <c r="K23" s="3"/>
      <c r="L23" s="3"/>
    </row>
    <row r="24" spans="3:12">
      <c r="C24" s="3"/>
      <c r="D24" s="5"/>
      <c r="E24" s="3"/>
      <c r="F24" s="3"/>
      <c r="G24" s="3"/>
      <c r="H24" s="3"/>
      <c r="I24" s="3"/>
      <c r="J24" s="3"/>
      <c r="K24" s="3"/>
      <c r="L24" s="3"/>
    </row>
    <row r="25" spans="3:12">
      <c r="C25" s="3"/>
      <c r="D25" s="5"/>
      <c r="E25" s="3"/>
      <c r="F25" s="3"/>
      <c r="G25" s="3"/>
      <c r="H25" s="3"/>
      <c r="I25" s="3"/>
      <c r="J25" s="3"/>
      <c r="K25" s="3"/>
      <c r="L25" s="3"/>
    </row>
    <row r="26" spans="3:12">
      <c r="C26" s="3"/>
      <c r="D26" s="5"/>
      <c r="E26" s="3"/>
      <c r="F26" s="3"/>
      <c r="G26" s="3"/>
      <c r="H26" s="3"/>
      <c r="I26" s="3"/>
      <c r="J26" s="3"/>
      <c r="K26" s="3"/>
      <c r="L26" s="3"/>
    </row>
    <row r="27" spans="3:12">
      <c r="C27" s="3"/>
      <c r="D27" s="5"/>
      <c r="E27" s="3"/>
      <c r="F27" s="3"/>
      <c r="G27" s="3"/>
      <c r="H27" s="3"/>
      <c r="I27" s="3"/>
      <c r="J27" s="3"/>
      <c r="K27" s="3"/>
      <c r="L27" s="3"/>
    </row>
    <row r="28" spans="3:12">
      <c r="C28" s="3"/>
      <c r="D28" s="5"/>
      <c r="E28" s="3"/>
      <c r="F28" s="3"/>
      <c r="G28" s="3"/>
      <c r="H28" s="3"/>
      <c r="I28" s="3"/>
      <c r="J28" s="3"/>
      <c r="K28" s="3"/>
      <c r="L28" s="3"/>
    </row>
    <row r="29" spans="3:12">
      <c r="C29" s="3"/>
      <c r="D29" s="5"/>
      <c r="E29" s="3"/>
      <c r="F29" s="3"/>
      <c r="G29" s="3"/>
      <c r="H29" s="3"/>
      <c r="I29" s="3"/>
      <c r="J29" s="3"/>
      <c r="K29" s="3"/>
      <c r="L29" s="3"/>
    </row>
    <row r="30" spans="3:12">
      <c r="C30" s="3"/>
      <c r="D30" s="5"/>
      <c r="E30" s="3"/>
      <c r="F30" s="3"/>
      <c r="G30" s="3"/>
      <c r="H30" s="3"/>
      <c r="I30" s="3"/>
      <c r="J30" s="3"/>
      <c r="K30" s="3"/>
      <c r="L30" s="3"/>
    </row>
    <row r="31" spans="3:12">
      <c r="C31" s="3"/>
      <c r="D31" s="5"/>
      <c r="E31" s="3"/>
      <c r="F31" s="3"/>
      <c r="G31" s="3"/>
      <c r="H31" s="3"/>
      <c r="I31" s="3"/>
      <c r="J31" s="3"/>
      <c r="K31" s="3"/>
      <c r="L31" s="3"/>
    </row>
    <row r="32" spans="3:12">
      <c r="C32" s="3"/>
      <c r="D32" s="5"/>
      <c r="E32" s="3"/>
      <c r="F32" s="3"/>
      <c r="G32" s="3"/>
      <c r="H32" s="3"/>
      <c r="I32" s="3"/>
      <c r="J32" s="3"/>
      <c r="K32" s="3"/>
      <c r="L32" s="3"/>
    </row>
    <row r="33" spans="3:12">
      <c r="C33" s="3"/>
      <c r="D33" s="5"/>
      <c r="E33" s="3"/>
      <c r="F33" s="3"/>
      <c r="G33" s="3"/>
      <c r="H33" s="3"/>
      <c r="I33" s="3"/>
      <c r="J33" s="3"/>
      <c r="K33" s="3"/>
      <c r="L33" s="3"/>
    </row>
    <row r="34" spans="3:12">
      <c r="C34" s="3"/>
      <c r="D34" s="5"/>
      <c r="E34" s="3"/>
      <c r="F34" s="3"/>
      <c r="G34" s="3"/>
      <c r="H34" s="3"/>
      <c r="I34" s="3"/>
      <c r="J34" s="3"/>
      <c r="K34" s="3"/>
      <c r="L34" s="3"/>
    </row>
    <row r="35" spans="3:12">
      <c r="C35" s="3"/>
      <c r="D35" s="5"/>
      <c r="E35" s="3"/>
      <c r="F35" s="3"/>
      <c r="G35" s="3"/>
      <c r="H35" s="3"/>
      <c r="I35" s="3"/>
      <c r="J35" s="3"/>
      <c r="K35" s="3"/>
      <c r="L35" s="3"/>
    </row>
    <row r="36" spans="3:12">
      <c r="C36" s="3"/>
      <c r="D36" s="5"/>
      <c r="E36" s="3"/>
      <c r="F36" s="3"/>
      <c r="G36" s="3"/>
      <c r="H36" s="3"/>
      <c r="I36" s="3"/>
      <c r="J36" s="3"/>
      <c r="K36" s="3"/>
      <c r="L36" s="3"/>
    </row>
    <row r="37" spans="3:12">
      <c r="C37" s="3"/>
      <c r="D37" s="5"/>
      <c r="E37" s="3"/>
      <c r="F37" s="3"/>
      <c r="G37" s="3"/>
      <c r="H37" s="3"/>
      <c r="I37" s="3"/>
      <c r="J37" s="3"/>
      <c r="K37" s="3"/>
      <c r="L37" s="3"/>
    </row>
    <row r="38" spans="3:12">
      <c r="C38" s="3"/>
      <c r="D38" s="5"/>
      <c r="E38" s="3"/>
      <c r="F38" s="3"/>
      <c r="G38" s="3"/>
      <c r="H38" s="3"/>
      <c r="I38" s="3"/>
      <c r="J38" s="3"/>
      <c r="K38" s="3"/>
      <c r="L38" s="3"/>
    </row>
    <row r="39" spans="3:12">
      <c r="C39" s="3"/>
      <c r="D39" s="5"/>
      <c r="E39" s="3"/>
      <c r="F39" s="3"/>
      <c r="G39" s="3"/>
      <c r="H39" s="3"/>
      <c r="I39" s="3"/>
      <c r="J39" s="3"/>
      <c r="K39" s="3"/>
      <c r="L39" s="3"/>
    </row>
    <row r="40" spans="3:12">
      <c r="C40" s="3"/>
      <c r="D40" s="5"/>
      <c r="E40" s="3"/>
      <c r="F40" s="3"/>
      <c r="G40" s="3"/>
      <c r="H40" s="3"/>
      <c r="I40" s="3"/>
      <c r="J40" s="3"/>
      <c r="K40" s="3"/>
      <c r="L40" s="3"/>
    </row>
    <row r="41" spans="3:12">
      <c r="C41" s="3"/>
      <c r="D41" s="5"/>
      <c r="E41" s="3"/>
      <c r="F41" s="3"/>
      <c r="G41" s="3"/>
      <c r="H41" s="3"/>
      <c r="I41" s="3"/>
      <c r="J41" s="3"/>
      <c r="K41" s="3"/>
      <c r="L41" s="3"/>
    </row>
    <row r="42" spans="3:12">
      <c r="C42" s="3"/>
      <c r="D42" s="5"/>
      <c r="E42" s="3"/>
      <c r="F42" s="3"/>
      <c r="G42" s="3"/>
      <c r="H42" s="3"/>
      <c r="I42" s="3"/>
      <c r="J42" s="3"/>
      <c r="K42" s="3"/>
      <c r="L42" s="3"/>
    </row>
    <row r="43" spans="3:12">
      <c r="C43" s="3"/>
      <c r="D43" s="5"/>
      <c r="E43" s="3"/>
      <c r="F43" s="3"/>
      <c r="G43" s="3"/>
      <c r="H43" s="3"/>
      <c r="I43" s="3"/>
      <c r="J43" s="3"/>
      <c r="K43" s="3"/>
      <c r="L43" s="3"/>
    </row>
    <row r="44" spans="3:12">
      <c r="C44" s="3"/>
      <c r="D44" s="5"/>
      <c r="E44" s="3"/>
      <c r="F44" s="3"/>
      <c r="G44" s="3"/>
      <c r="H44" s="3"/>
      <c r="I44" s="3"/>
      <c r="J44" s="3"/>
      <c r="K44" s="3"/>
      <c r="L44" s="3"/>
    </row>
    <row r="45" spans="3:12">
      <c r="C45" s="3"/>
      <c r="D45" s="5"/>
      <c r="E45" s="3"/>
      <c r="F45" s="3"/>
      <c r="G45" s="3"/>
      <c r="H45" s="3"/>
      <c r="I45" s="3"/>
      <c r="J45" s="3"/>
      <c r="K45" s="3"/>
      <c r="L45" s="3"/>
    </row>
    <row r="46" spans="3:12">
      <c r="C46" s="3"/>
      <c r="D46" s="5"/>
      <c r="E46" s="3"/>
      <c r="F46" s="3"/>
      <c r="G46" s="3"/>
      <c r="H46" s="3"/>
      <c r="I46" s="3"/>
      <c r="J46" s="3"/>
      <c r="K46" s="3"/>
      <c r="L46" s="3"/>
    </row>
    <row r="47" spans="3:12">
      <c r="C47" s="3"/>
      <c r="D47" s="5"/>
      <c r="E47" s="3"/>
      <c r="F47" s="3"/>
      <c r="G47" s="3"/>
      <c r="H47" s="3"/>
      <c r="I47" s="3"/>
      <c r="J47" s="3"/>
      <c r="K47" s="3"/>
      <c r="L47" s="3"/>
    </row>
    <row r="48" spans="3:12">
      <c r="C48" s="3"/>
      <c r="D48" s="5"/>
      <c r="E48" s="3"/>
      <c r="F48" s="3"/>
      <c r="G48" s="3"/>
      <c r="H48" s="3"/>
      <c r="I48" s="3"/>
      <c r="J48" s="3"/>
      <c r="K48" s="3"/>
      <c r="L48" s="3"/>
    </row>
    <row r="49" spans="3:12">
      <c r="C49" s="3"/>
      <c r="D49" s="5"/>
      <c r="E49" s="3"/>
      <c r="F49" s="3"/>
      <c r="G49" s="3"/>
      <c r="H49" s="3"/>
      <c r="I49" s="3"/>
      <c r="J49" s="3"/>
      <c r="K49" s="3"/>
      <c r="L49" s="3"/>
    </row>
    <row r="50" spans="3:12">
      <c r="C50" s="3"/>
      <c r="D50" s="5"/>
      <c r="E50" s="3"/>
      <c r="F50" s="3"/>
      <c r="G50" s="3"/>
      <c r="H50" s="3"/>
      <c r="I50" s="3"/>
      <c r="J50" s="3"/>
      <c r="K50" s="3"/>
      <c r="L50" s="3"/>
    </row>
    <row r="51" spans="3:12">
      <c r="C51" s="3"/>
      <c r="D51" s="5"/>
      <c r="E51" s="3"/>
      <c r="F51" s="3"/>
      <c r="G51" s="3"/>
      <c r="H51" s="3"/>
      <c r="I51" s="3"/>
      <c r="J51" s="3"/>
      <c r="K51" s="3"/>
      <c r="L51" s="3"/>
    </row>
    <row r="52" spans="3:12">
      <c r="C52" s="3"/>
      <c r="D52" s="5"/>
      <c r="E52" s="3"/>
      <c r="F52" s="3"/>
      <c r="G52" s="3"/>
      <c r="H52" s="3"/>
      <c r="I52" s="3"/>
      <c r="J52" s="3"/>
      <c r="K52" s="3"/>
      <c r="L52" s="3"/>
    </row>
    <row r="53" spans="3:12">
      <c r="C53" s="3"/>
      <c r="D53" s="5"/>
      <c r="E53" s="3"/>
      <c r="F53" s="3"/>
      <c r="G53" s="3"/>
      <c r="H53" s="3"/>
      <c r="I53" s="3"/>
      <c r="J53" s="3"/>
      <c r="K53" s="3"/>
      <c r="L53" s="3"/>
    </row>
    <row r="54" spans="3:12">
      <c r="C54" s="3"/>
      <c r="D54" s="5"/>
      <c r="E54" s="3"/>
      <c r="F54" s="3"/>
      <c r="G54" s="3"/>
      <c r="H54" s="3"/>
      <c r="I54" s="3"/>
      <c r="J54" s="3"/>
      <c r="K54" s="3"/>
      <c r="L54" s="3"/>
    </row>
    <row r="55" spans="3:12">
      <c r="C55" s="3"/>
      <c r="D55" s="5"/>
      <c r="E55" s="3"/>
      <c r="F55" s="3"/>
      <c r="G55" s="3"/>
      <c r="H55" s="3"/>
      <c r="I55" s="3"/>
      <c r="J55" s="3"/>
      <c r="K55" s="3"/>
      <c r="L55" s="3"/>
    </row>
    <row r="56" spans="3:12">
      <c r="C56" s="3"/>
      <c r="D56" s="5"/>
      <c r="E56" s="3"/>
      <c r="F56" s="3"/>
      <c r="G56" s="3"/>
      <c r="H56" s="3"/>
      <c r="I56" s="3"/>
      <c r="J56" s="3"/>
      <c r="K56" s="3"/>
      <c r="L56" s="3"/>
    </row>
    <row r="57" spans="3:12">
      <c r="C57" s="3"/>
      <c r="D57" s="5"/>
      <c r="E57" s="3"/>
      <c r="F57" s="3"/>
      <c r="G57" s="3"/>
      <c r="H57" s="3"/>
      <c r="I57" s="3"/>
      <c r="J57" s="3"/>
      <c r="K57" s="3"/>
      <c r="L57" s="3"/>
    </row>
    <row r="58" spans="3:12">
      <c r="C58" s="3"/>
      <c r="D58" s="5"/>
      <c r="E58" s="3"/>
      <c r="F58" s="3"/>
      <c r="G58" s="3"/>
      <c r="H58" s="3"/>
      <c r="I58" s="3"/>
      <c r="J58" s="3"/>
      <c r="K58" s="3"/>
      <c r="L58" s="3"/>
    </row>
    <row r="59" spans="3:12">
      <c r="C59" s="3"/>
      <c r="D59" s="5"/>
      <c r="E59" s="3"/>
      <c r="F59" s="3"/>
      <c r="G59" s="3"/>
      <c r="H59" s="3"/>
      <c r="I59" s="3"/>
      <c r="J59" s="3"/>
      <c r="K59" s="3"/>
      <c r="L59" s="3"/>
    </row>
    <row r="60" spans="3:12">
      <c r="C60" s="3"/>
      <c r="D60" s="5"/>
      <c r="E60" s="3"/>
      <c r="F60" s="3"/>
      <c r="G60" s="3"/>
      <c r="H60" s="3"/>
      <c r="I60" s="3"/>
      <c r="J60" s="3"/>
      <c r="K60" s="3"/>
      <c r="L60" s="3"/>
    </row>
    <row r="61" spans="3:12">
      <c r="C61" s="3"/>
      <c r="D61" s="5"/>
      <c r="E61" s="3"/>
      <c r="F61" s="3"/>
      <c r="G61" s="3"/>
      <c r="H61" s="3"/>
      <c r="I61" s="3"/>
      <c r="J61" s="3"/>
      <c r="K61" s="3"/>
      <c r="L61" s="3"/>
    </row>
    <row r="62" spans="3:12">
      <c r="C62" s="3"/>
      <c r="D62" s="5"/>
      <c r="E62" s="3"/>
      <c r="F62" s="3"/>
      <c r="G62" s="3"/>
      <c r="H62" s="3"/>
      <c r="I62" s="3"/>
      <c r="J62" s="3"/>
      <c r="K62" s="3"/>
      <c r="L62" s="3"/>
    </row>
    <row r="63" spans="3:12">
      <c r="C63" s="3"/>
      <c r="D63" s="5"/>
      <c r="E63" s="3"/>
      <c r="F63" s="3"/>
      <c r="G63" s="3"/>
      <c r="H63" s="3"/>
      <c r="I63" s="3"/>
      <c r="J63" s="3"/>
      <c r="K63" s="3"/>
      <c r="L63" s="3"/>
    </row>
    <row r="64" spans="3:12">
      <c r="C64" s="3"/>
      <c r="D64" s="5"/>
      <c r="E64" s="3"/>
      <c r="F64" s="3"/>
      <c r="G64" s="3"/>
      <c r="H64" s="3"/>
      <c r="I64" s="3"/>
      <c r="J64" s="3"/>
      <c r="K64" s="3"/>
      <c r="L64" s="3"/>
    </row>
    <row r="65" spans="3:12">
      <c r="C65" s="3"/>
      <c r="D65" s="5"/>
      <c r="E65" s="3"/>
      <c r="F65" s="3"/>
      <c r="G65" s="3"/>
      <c r="H65" s="3"/>
      <c r="I65" s="3"/>
      <c r="J65" s="3"/>
      <c r="K65" s="3"/>
      <c r="L65" s="3"/>
    </row>
    <row r="66" spans="3:12">
      <c r="C66" s="3"/>
      <c r="D66" s="5"/>
      <c r="E66" s="3"/>
      <c r="F66" s="3"/>
      <c r="G66" s="3"/>
      <c r="H66" s="3"/>
      <c r="I66" s="3"/>
      <c r="J66" s="3"/>
      <c r="K66" s="3"/>
      <c r="L66" s="3"/>
    </row>
    <row r="67" spans="3:12">
      <c r="C67" s="3"/>
      <c r="D67" s="5"/>
      <c r="E67" s="3"/>
      <c r="F67" s="3"/>
      <c r="G67" s="3"/>
      <c r="H67" s="3"/>
      <c r="I67" s="3"/>
      <c r="J67" s="3"/>
      <c r="K67" s="3"/>
      <c r="L67" s="3"/>
    </row>
    <row r="68" spans="3:12">
      <c r="C68" s="3"/>
      <c r="D68" s="5"/>
      <c r="E68" s="3"/>
      <c r="F68" s="3"/>
      <c r="G68" s="3"/>
      <c r="H68" s="3"/>
      <c r="I68" s="3"/>
      <c r="J68" s="3"/>
      <c r="K68" s="3"/>
      <c r="L68" s="3"/>
    </row>
    <row r="69" spans="3:12">
      <c r="C69" s="3"/>
      <c r="D69" s="5"/>
      <c r="E69" s="3"/>
      <c r="F69" s="3"/>
      <c r="G69" s="3"/>
      <c r="H69" s="3"/>
      <c r="I69" s="3"/>
      <c r="J69" s="3"/>
      <c r="K69" s="3"/>
      <c r="L69" s="3"/>
    </row>
    <row r="70" spans="3:12">
      <c r="C70" s="3"/>
      <c r="D70" s="5"/>
      <c r="E70" s="3"/>
      <c r="F70" s="3"/>
      <c r="G70" s="3"/>
      <c r="H70" s="3"/>
      <c r="I70" s="3"/>
      <c r="J70" s="3"/>
      <c r="K70" s="3"/>
      <c r="L70" s="3"/>
    </row>
    <row r="71" spans="3:12">
      <c r="C71" s="3"/>
      <c r="D71" s="5"/>
      <c r="E71" s="3"/>
      <c r="F71" s="3"/>
      <c r="G71" s="3"/>
      <c r="H71" s="3"/>
      <c r="I71" s="3"/>
      <c r="J71" s="3"/>
      <c r="K71" s="3"/>
      <c r="L71" s="3"/>
    </row>
    <row r="72" spans="3:12">
      <c r="C72" s="3"/>
      <c r="D72" s="5"/>
      <c r="E72" s="3"/>
      <c r="F72" s="3"/>
      <c r="G72" s="3"/>
      <c r="H72" s="3"/>
      <c r="I72" s="3"/>
      <c r="J72" s="3"/>
      <c r="K72" s="3"/>
      <c r="L72" s="3"/>
    </row>
    <row r="73" spans="3:12">
      <c r="C73" s="3"/>
      <c r="D73" s="5"/>
      <c r="E73" s="3"/>
      <c r="F73" s="3"/>
      <c r="G73" s="3"/>
      <c r="H73" s="3"/>
      <c r="I73" s="3"/>
      <c r="J73" s="3"/>
      <c r="K73" s="3"/>
      <c r="L73" s="3"/>
    </row>
    <row r="74" spans="3:12">
      <c r="C74" s="3"/>
      <c r="D74" s="5"/>
      <c r="E74" s="3"/>
      <c r="F74" s="3"/>
      <c r="G74" s="3"/>
      <c r="H74" s="3"/>
      <c r="I74" s="3"/>
      <c r="J74" s="3"/>
      <c r="K74" s="3"/>
      <c r="L74" s="3"/>
    </row>
    <row r="75" spans="3:12">
      <c r="C75" s="3"/>
      <c r="D75" s="5"/>
      <c r="E75" s="3"/>
      <c r="F75" s="3"/>
      <c r="G75" s="3"/>
      <c r="H75" s="3"/>
      <c r="I75" s="3"/>
      <c r="J75" s="3"/>
      <c r="K75" s="3"/>
      <c r="L75" s="3"/>
    </row>
    <row r="76" spans="3:12">
      <c r="C76" s="3"/>
      <c r="D76" s="5"/>
      <c r="E76" s="3"/>
      <c r="F76" s="3"/>
      <c r="G76" s="3"/>
      <c r="H76" s="3"/>
      <c r="I76" s="3"/>
      <c r="J76" s="3"/>
      <c r="K76" s="3"/>
      <c r="L76" s="3"/>
    </row>
    <row r="77" spans="3:12">
      <c r="C77" s="3"/>
      <c r="D77" s="5"/>
      <c r="E77" s="3"/>
      <c r="F77" s="3"/>
      <c r="G77" s="3"/>
      <c r="H77" s="3"/>
      <c r="I77" s="3"/>
      <c r="J77" s="3"/>
      <c r="K77" s="3"/>
      <c r="L77" s="3"/>
    </row>
    <row r="78" spans="3:12">
      <c r="C78" s="3"/>
      <c r="D78" s="5"/>
      <c r="E78" s="3"/>
      <c r="F78" s="3"/>
      <c r="G78" s="3"/>
      <c r="H78" s="3"/>
      <c r="I78" s="3"/>
      <c r="J78" s="3"/>
      <c r="K78" s="3"/>
      <c r="L78" s="3"/>
    </row>
    <row r="79" spans="3:12">
      <c r="C79" s="3"/>
      <c r="D79" s="5"/>
      <c r="E79" s="3"/>
      <c r="F79" s="3"/>
      <c r="G79" s="3"/>
      <c r="H79" s="3"/>
      <c r="I79" s="3"/>
      <c r="J79" s="3"/>
      <c r="K79" s="3"/>
      <c r="L79" s="3"/>
    </row>
    <row r="80" spans="3:12">
      <c r="C80" s="3"/>
      <c r="D80" s="5"/>
      <c r="E80" s="3"/>
      <c r="F80" s="3"/>
      <c r="G80" s="3"/>
      <c r="H80" s="3"/>
      <c r="I80" s="3"/>
      <c r="J80" s="3"/>
      <c r="K80" s="3"/>
      <c r="L80" s="3"/>
    </row>
    <row r="81" spans="3:12">
      <c r="C81" s="3"/>
      <c r="D81" s="5"/>
      <c r="E81" s="3"/>
      <c r="F81" s="3"/>
      <c r="G81" s="3"/>
      <c r="H81" s="3"/>
      <c r="I81" s="3"/>
      <c r="J81" s="3"/>
      <c r="K81" s="3"/>
      <c r="L81" s="3"/>
    </row>
    <row r="82" spans="3:12">
      <c r="C82" s="3"/>
      <c r="D82" s="5"/>
      <c r="E82" s="3"/>
      <c r="F82" s="3"/>
      <c r="G82" s="3"/>
      <c r="H82" s="3"/>
      <c r="I82" s="3"/>
      <c r="J82" s="3"/>
      <c r="K82" s="3"/>
      <c r="L82" s="3"/>
    </row>
    <row r="83" spans="3:12">
      <c r="C83" s="3"/>
      <c r="D83" s="5"/>
      <c r="E83" s="3"/>
      <c r="F83" s="3"/>
      <c r="G83" s="3"/>
      <c r="H83" s="3"/>
      <c r="I83" s="3"/>
      <c r="J83" s="3"/>
      <c r="K83" s="3"/>
      <c r="L83" s="3"/>
    </row>
    <row r="84" spans="3:12">
      <c r="C84" s="3"/>
      <c r="D84" s="5"/>
      <c r="E84" s="3"/>
      <c r="F84" s="3"/>
      <c r="G84" s="3"/>
      <c r="H84" s="3"/>
      <c r="I84" s="3"/>
      <c r="J84" s="3"/>
      <c r="K84" s="3"/>
      <c r="L84" s="3"/>
    </row>
    <row r="85" spans="3:12">
      <c r="C85" s="3"/>
      <c r="D85" s="5"/>
      <c r="E85" s="3"/>
      <c r="F85" s="3"/>
      <c r="G85" s="3"/>
      <c r="H85" s="3"/>
      <c r="I85" s="3"/>
      <c r="J85" s="3"/>
      <c r="K85" s="3"/>
      <c r="L85" s="3"/>
    </row>
    <row r="86" spans="3:12">
      <c r="C86" s="3"/>
      <c r="D86" s="5"/>
      <c r="E86" s="3"/>
      <c r="F86" s="3"/>
      <c r="G86" s="3"/>
      <c r="H86" s="3"/>
      <c r="I86" s="3"/>
      <c r="J86" s="3"/>
      <c r="K86" s="3"/>
      <c r="L86" s="3"/>
    </row>
    <row r="87" spans="3:12">
      <c r="C87" s="3"/>
      <c r="D87" s="5"/>
      <c r="E87" s="3"/>
      <c r="F87" s="3"/>
      <c r="G87" s="3"/>
      <c r="H87" s="3"/>
      <c r="I87" s="3"/>
      <c r="J87" s="3"/>
      <c r="K87" s="3"/>
      <c r="L87" s="3"/>
    </row>
    <row r="88" spans="3:12">
      <c r="C88" s="3"/>
      <c r="D88" s="5"/>
      <c r="E88" s="3"/>
      <c r="F88" s="3"/>
      <c r="G88" s="3"/>
      <c r="H88" s="3"/>
      <c r="I88" s="3"/>
      <c r="J88" s="3"/>
      <c r="K88" s="3"/>
      <c r="L88" s="3"/>
    </row>
    <row r="89" spans="3:12">
      <c r="C89" s="3"/>
      <c r="D89" s="5"/>
      <c r="E89" s="3"/>
      <c r="F89" s="3"/>
      <c r="G89" s="3"/>
      <c r="H89" s="3"/>
      <c r="I89" s="3"/>
      <c r="J89" s="3"/>
      <c r="K89" s="3"/>
      <c r="L89" s="3"/>
    </row>
    <row r="90" spans="3:12">
      <c r="C90" s="3"/>
      <c r="D90" s="5"/>
      <c r="E90" s="3"/>
      <c r="F90" s="3"/>
      <c r="G90" s="3"/>
      <c r="H90" s="3"/>
      <c r="I90" s="3"/>
      <c r="J90" s="3"/>
      <c r="K90" s="3"/>
      <c r="L90" s="3"/>
    </row>
    <row r="91" spans="3:12">
      <c r="C91" s="3"/>
      <c r="D91" s="5"/>
      <c r="E91" s="3"/>
      <c r="F91" s="3"/>
      <c r="G91" s="3"/>
      <c r="H91" s="3"/>
      <c r="I91" s="3"/>
      <c r="J91" s="3"/>
      <c r="K91" s="3"/>
      <c r="L91" s="3"/>
    </row>
    <row r="92" spans="3:12">
      <c r="C92" s="3"/>
      <c r="D92" s="5"/>
      <c r="E92" s="3"/>
      <c r="F92" s="3"/>
      <c r="G92" s="3"/>
      <c r="H92" s="3"/>
      <c r="I92" s="3"/>
      <c r="J92" s="3"/>
      <c r="K92" s="3"/>
      <c r="L92" s="3"/>
    </row>
    <row r="93" spans="3:12">
      <c r="C93" s="3"/>
      <c r="D93" s="5"/>
      <c r="E93" s="3"/>
      <c r="F93" s="3"/>
      <c r="G93" s="3"/>
      <c r="H93" s="3"/>
      <c r="I93" s="3"/>
      <c r="J93" s="3"/>
      <c r="K93" s="3"/>
      <c r="L93" s="3"/>
    </row>
    <row r="94" spans="3:12">
      <c r="C94" s="3"/>
      <c r="D94" s="5"/>
      <c r="E94" s="3"/>
      <c r="F94" s="3"/>
      <c r="G94" s="3"/>
      <c r="H94" s="3"/>
      <c r="I94" s="3"/>
      <c r="J94" s="3"/>
      <c r="K94" s="3"/>
      <c r="L94" s="3"/>
    </row>
    <row r="95" spans="3:12">
      <c r="C95" s="3"/>
      <c r="D95" s="5"/>
      <c r="E95" s="3"/>
      <c r="F95" s="3"/>
      <c r="G95" s="3"/>
      <c r="H95" s="3"/>
      <c r="I95" s="3"/>
      <c r="J95" s="3"/>
      <c r="K95" s="3"/>
      <c r="L95" s="3"/>
    </row>
    <row r="96" spans="3:12">
      <c r="C96" s="3"/>
      <c r="D96" s="5"/>
      <c r="E96" s="3"/>
      <c r="F96" s="3"/>
      <c r="G96" s="3"/>
      <c r="H96" s="3"/>
      <c r="I96" s="3"/>
      <c r="J96" s="3"/>
      <c r="K96" s="3"/>
      <c r="L96" s="3"/>
    </row>
    <row r="97" spans="3:12">
      <c r="C97" s="3"/>
      <c r="D97" s="5"/>
      <c r="E97" s="3"/>
      <c r="F97" s="3"/>
      <c r="G97" s="3"/>
      <c r="H97" s="3"/>
      <c r="I97" s="3"/>
      <c r="J97" s="3"/>
      <c r="K97" s="3"/>
      <c r="L97" s="3"/>
    </row>
    <row r="98" spans="3:12">
      <c r="C98" s="3"/>
      <c r="D98" s="5"/>
      <c r="E98" s="3"/>
      <c r="F98" s="3"/>
      <c r="G98" s="3"/>
      <c r="H98" s="3"/>
      <c r="I98" s="3"/>
      <c r="J98" s="3"/>
      <c r="K98" s="3"/>
      <c r="L98" s="3"/>
    </row>
    <row r="99" spans="3:12">
      <c r="C99" s="3"/>
      <c r="D99" s="5"/>
      <c r="E99" s="3"/>
      <c r="F99" s="3"/>
      <c r="G99" s="3"/>
      <c r="H99" s="3"/>
      <c r="I99" s="3"/>
      <c r="J99" s="3"/>
      <c r="K99" s="3"/>
      <c r="L99" s="3"/>
    </row>
    <row r="100" spans="3:12">
      <c r="C100" s="3"/>
      <c r="D100" s="5"/>
      <c r="E100" s="3"/>
      <c r="F100" s="3"/>
      <c r="G100" s="3"/>
      <c r="H100" s="3"/>
      <c r="I100" s="3"/>
      <c r="J100" s="3"/>
      <c r="K100" s="3"/>
      <c r="L100" s="3"/>
    </row>
    <row r="101" spans="3:12">
      <c r="C101" s="3"/>
      <c r="D101" s="5"/>
      <c r="E101" s="3"/>
      <c r="F101" s="3"/>
      <c r="G101" s="3"/>
      <c r="H101" s="3"/>
      <c r="I101" s="3"/>
      <c r="J101" s="3"/>
      <c r="K101" s="3"/>
      <c r="L101" s="3"/>
    </row>
    <row r="102" spans="3:12">
      <c r="C102" s="3"/>
      <c r="D102" s="5"/>
      <c r="E102" s="3"/>
      <c r="F102" s="3"/>
      <c r="G102" s="3"/>
      <c r="H102" s="3"/>
      <c r="I102" s="3"/>
      <c r="J102" s="3"/>
      <c r="K102" s="3"/>
      <c r="L102" s="3"/>
    </row>
    <row r="103" spans="3:12">
      <c r="C103" s="3"/>
      <c r="D103" s="5"/>
      <c r="E103" s="3"/>
      <c r="F103" s="3"/>
      <c r="G103" s="3"/>
      <c r="H103" s="3"/>
      <c r="I103" s="3"/>
      <c r="J103" s="3"/>
      <c r="K103" s="3"/>
      <c r="L103" s="3"/>
    </row>
    <row r="104" spans="3:12">
      <c r="C104" s="3"/>
      <c r="D104" s="5"/>
      <c r="E104" s="3"/>
      <c r="F104" s="3"/>
      <c r="G104" s="3"/>
      <c r="H104" s="3"/>
      <c r="I104" s="3"/>
      <c r="J104" s="3"/>
      <c r="K104" s="3"/>
      <c r="L104" s="3"/>
    </row>
    <row r="105" spans="3:12">
      <c r="C105" s="3"/>
      <c r="D105" s="5"/>
      <c r="E105" s="3"/>
      <c r="F105" s="3"/>
      <c r="G105" s="3"/>
      <c r="H105" s="3"/>
      <c r="I105" s="3"/>
      <c r="J105" s="3"/>
      <c r="K105" s="3"/>
      <c r="L105" s="3"/>
    </row>
    <row r="106" spans="3:12">
      <c r="C106" s="3"/>
      <c r="D106" s="5"/>
      <c r="E106" s="3"/>
      <c r="F106" s="3"/>
      <c r="G106" s="3"/>
      <c r="H106" s="3"/>
      <c r="I106" s="3"/>
      <c r="J106" s="3"/>
      <c r="K106" s="3"/>
      <c r="L106" s="3"/>
    </row>
    <row r="107" spans="3:12">
      <c r="C107" s="3"/>
      <c r="D107" s="5"/>
      <c r="E107" s="3"/>
      <c r="F107" s="3"/>
      <c r="G107" s="3"/>
      <c r="H107" s="3"/>
      <c r="I107" s="3"/>
      <c r="J107" s="3"/>
      <c r="K107" s="3"/>
      <c r="L107" s="3"/>
    </row>
    <row r="108" spans="3:12">
      <c r="C108" s="3"/>
      <c r="D108" s="5"/>
      <c r="E108" s="3"/>
      <c r="F108" s="3"/>
      <c r="G108" s="3"/>
      <c r="H108" s="3"/>
      <c r="I108" s="3"/>
      <c r="J108" s="3"/>
      <c r="K108" s="3"/>
      <c r="L108" s="3"/>
    </row>
    <row r="109" spans="3:12">
      <c r="C109" s="3"/>
      <c r="D109" s="5"/>
      <c r="E109" s="3"/>
      <c r="F109" s="3"/>
      <c r="G109" s="3"/>
      <c r="H109" s="3"/>
      <c r="I109" s="3"/>
      <c r="J109" s="3"/>
      <c r="K109" s="3"/>
      <c r="L109" s="3"/>
    </row>
    <row r="110" spans="3:12">
      <c r="C110" s="3"/>
      <c r="D110" s="5"/>
      <c r="E110" s="3"/>
      <c r="F110" s="3"/>
      <c r="G110" s="3"/>
      <c r="H110" s="3"/>
      <c r="I110" s="3"/>
      <c r="J110" s="3"/>
      <c r="K110" s="3"/>
      <c r="L110" s="3"/>
    </row>
    <row r="111" spans="3:12">
      <c r="C111" s="3"/>
      <c r="D111" s="5"/>
      <c r="E111" s="3"/>
      <c r="F111" s="3"/>
      <c r="G111" s="3"/>
      <c r="H111" s="3"/>
      <c r="I111" s="3"/>
      <c r="J111" s="3"/>
      <c r="K111" s="3"/>
      <c r="L111" s="3"/>
    </row>
    <row r="112" spans="3:12">
      <c r="C112" s="3"/>
      <c r="D112" s="5"/>
      <c r="E112" s="3"/>
      <c r="F112" s="3"/>
      <c r="G112" s="3"/>
      <c r="H112" s="3"/>
      <c r="I112" s="3"/>
      <c r="J112" s="3"/>
      <c r="K112" s="3"/>
      <c r="L112" s="3"/>
    </row>
    <row r="113" spans="3:12">
      <c r="C113" s="3"/>
      <c r="D113" s="5"/>
      <c r="E113" s="3"/>
      <c r="F113" s="3"/>
      <c r="G113" s="3"/>
      <c r="H113" s="3"/>
      <c r="I113" s="3"/>
      <c r="J113" s="3"/>
      <c r="K113" s="3"/>
      <c r="L113" s="3"/>
    </row>
    <row r="114" spans="3:12">
      <c r="C114" s="3"/>
      <c r="D114" s="5"/>
      <c r="E114" s="3"/>
      <c r="F114" s="3"/>
      <c r="G114" s="3"/>
      <c r="H114" s="3"/>
      <c r="I114" s="3"/>
      <c r="J114" s="3"/>
      <c r="K114" s="3"/>
      <c r="L114" s="3"/>
    </row>
    <row r="115" spans="3:12">
      <c r="C115" s="3"/>
      <c r="D115" s="5"/>
      <c r="E115" s="3"/>
      <c r="F115" s="3"/>
      <c r="G115" s="3"/>
      <c r="H115" s="3"/>
      <c r="I115" s="3"/>
      <c r="J115" s="3"/>
      <c r="K115" s="3"/>
      <c r="L115" s="3"/>
    </row>
    <row r="116" spans="3:12">
      <c r="C116" s="3"/>
      <c r="D116" s="5"/>
      <c r="E116" s="3"/>
      <c r="F116" s="3"/>
      <c r="G116" s="3"/>
      <c r="H116" s="3"/>
      <c r="I116" s="3"/>
      <c r="J116" s="3"/>
      <c r="K116" s="3"/>
      <c r="L116" s="3"/>
    </row>
    <row r="117" spans="3:12">
      <c r="C117" s="3"/>
      <c r="D117" s="5"/>
      <c r="E117" s="3"/>
      <c r="F117" s="3"/>
      <c r="G117" s="3"/>
      <c r="H117" s="3"/>
      <c r="I117" s="3"/>
      <c r="J117" s="3"/>
      <c r="K117" s="3"/>
      <c r="L117" s="3"/>
    </row>
    <row r="118" spans="3:12">
      <c r="C118" s="3"/>
      <c r="D118" s="5"/>
      <c r="E118" s="3"/>
      <c r="F118" s="3"/>
      <c r="G118" s="3"/>
      <c r="H118" s="3"/>
      <c r="I118" s="3"/>
      <c r="J118" s="3"/>
      <c r="K118" s="3"/>
      <c r="L118" s="3"/>
    </row>
    <row r="119" spans="3:12">
      <c r="C119" s="3"/>
      <c r="D119" s="5"/>
      <c r="E119" s="3"/>
      <c r="F119" s="3"/>
      <c r="G119" s="3"/>
      <c r="H119" s="3"/>
      <c r="I119" s="3"/>
      <c r="J119" s="3"/>
      <c r="K119" s="3"/>
      <c r="L119" s="3"/>
    </row>
    <row r="120" spans="3:12">
      <c r="C120" s="3"/>
      <c r="D120" s="5"/>
      <c r="E120" s="3"/>
      <c r="F120" s="3"/>
      <c r="G120" s="3"/>
      <c r="H120" s="3"/>
      <c r="I120" s="3"/>
      <c r="J120" s="3"/>
      <c r="K120" s="3"/>
      <c r="L120" s="3"/>
    </row>
    <row r="121" spans="3:12">
      <c r="C121" s="3"/>
      <c r="D121" s="5"/>
      <c r="E121" s="3"/>
      <c r="F121" s="3"/>
      <c r="G121" s="3"/>
      <c r="H121" s="3"/>
      <c r="I121" s="3"/>
      <c r="J121" s="3"/>
      <c r="K121" s="3"/>
      <c r="L121" s="3"/>
    </row>
    <row r="122" spans="3:12">
      <c r="C122" s="3"/>
      <c r="D122" s="5"/>
      <c r="E122" s="3"/>
      <c r="F122" s="3"/>
      <c r="G122" s="3"/>
      <c r="H122" s="3"/>
      <c r="I122" s="3"/>
      <c r="J122" s="3"/>
      <c r="K122" s="3"/>
      <c r="L122" s="3"/>
    </row>
    <row r="123" spans="3:12">
      <c r="C123" s="3"/>
      <c r="D123" s="5"/>
      <c r="E123" s="3"/>
      <c r="F123" s="3"/>
      <c r="G123" s="3"/>
      <c r="H123" s="3"/>
      <c r="I123" s="3"/>
      <c r="J123" s="3"/>
      <c r="K123" s="3"/>
      <c r="L123" s="3"/>
    </row>
    <row r="124" spans="3:12">
      <c r="C124" s="3"/>
      <c r="D124" s="5"/>
      <c r="E124" s="3"/>
      <c r="F124" s="3"/>
      <c r="G124" s="3"/>
      <c r="H124" s="3"/>
      <c r="I124" s="3"/>
      <c r="J124" s="3"/>
      <c r="K124" s="3"/>
      <c r="L124" s="3"/>
    </row>
    <row r="125" spans="3:12">
      <c r="C125" s="3"/>
      <c r="D125" s="5"/>
      <c r="E125" s="3"/>
      <c r="F125" s="3"/>
      <c r="G125" s="3"/>
      <c r="H125" s="3"/>
      <c r="I125" s="3"/>
      <c r="J125" s="3"/>
      <c r="K125" s="3"/>
      <c r="L125" s="3"/>
    </row>
    <row r="126" spans="3:12">
      <c r="C126" s="3"/>
      <c r="D126" s="5"/>
      <c r="E126" s="3"/>
      <c r="F126" s="3"/>
      <c r="G126" s="3"/>
      <c r="H126" s="3"/>
      <c r="I126" s="3"/>
      <c r="J126" s="3"/>
      <c r="K126" s="3"/>
      <c r="L126" s="3"/>
    </row>
    <row r="127" spans="3:12">
      <c r="C127" s="3"/>
      <c r="D127" s="5"/>
      <c r="E127" s="3"/>
      <c r="F127" s="3"/>
      <c r="G127" s="3"/>
      <c r="H127" s="3"/>
      <c r="I127" s="3"/>
      <c r="J127" s="3"/>
      <c r="K127" s="3"/>
      <c r="L127" s="3"/>
    </row>
    <row r="128" spans="3:12">
      <c r="C128" s="3"/>
      <c r="D128" s="5"/>
      <c r="E128" s="3"/>
      <c r="F128" s="3"/>
      <c r="G128" s="3"/>
      <c r="H128" s="3"/>
      <c r="I128" s="3"/>
      <c r="J128" s="3"/>
      <c r="K128" s="3"/>
      <c r="L128" s="3"/>
    </row>
    <row r="129" spans="3:12">
      <c r="C129" s="3"/>
      <c r="D129" s="5"/>
      <c r="E129" s="3"/>
      <c r="F129" s="3"/>
      <c r="G129" s="3"/>
      <c r="H129" s="3"/>
      <c r="I129" s="3"/>
      <c r="J129" s="3"/>
      <c r="K129" s="3"/>
      <c r="L129" s="3"/>
    </row>
    <row r="130" spans="3:12">
      <c r="C130" s="3"/>
      <c r="D130" s="5"/>
      <c r="E130" s="3"/>
      <c r="F130" s="3"/>
      <c r="G130" s="3"/>
      <c r="H130" s="3"/>
      <c r="I130" s="3"/>
      <c r="J130" s="3"/>
      <c r="K130" s="3"/>
      <c r="L130" s="3"/>
    </row>
    <row r="131" spans="3:12">
      <c r="C131" s="3"/>
      <c r="D131" s="5"/>
      <c r="E131" s="3"/>
      <c r="F131" s="3"/>
      <c r="G131" s="3"/>
      <c r="H131" s="3"/>
      <c r="I131" s="3"/>
      <c r="J131" s="3"/>
      <c r="K131" s="3"/>
      <c r="L131" s="3"/>
    </row>
    <row r="132" spans="3:12">
      <c r="C132" s="3"/>
      <c r="D132" s="5"/>
      <c r="E132" s="3"/>
      <c r="F132" s="3"/>
      <c r="G132" s="3"/>
      <c r="H132" s="3"/>
      <c r="I132" s="3"/>
      <c r="J132" s="3"/>
      <c r="K132" s="3"/>
      <c r="L132" s="3"/>
    </row>
    <row r="133" spans="3:12">
      <c r="C133" s="3"/>
      <c r="D133" s="5"/>
      <c r="E133" s="3"/>
      <c r="F133" s="3"/>
      <c r="G133" s="3"/>
      <c r="H133" s="3"/>
      <c r="I133" s="3"/>
      <c r="J133" s="3"/>
      <c r="K133" s="3"/>
      <c r="L133" s="3"/>
    </row>
    <row r="134" spans="3:12">
      <c r="C134" s="3"/>
      <c r="D134" s="5"/>
      <c r="E134" s="3"/>
      <c r="F134" s="3"/>
      <c r="G134" s="3"/>
      <c r="H134" s="3"/>
      <c r="I134" s="3"/>
      <c r="J134" s="3"/>
      <c r="K134" s="3"/>
      <c r="L134" s="3"/>
    </row>
    <row r="135" spans="3:12">
      <c r="C135" s="3"/>
      <c r="D135" s="5"/>
      <c r="E135" s="3"/>
      <c r="F135" s="3"/>
      <c r="G135" s="3"/>
      <c r="H135" s="3"/>
      <c r="I135" s="3"/>
      <c r="J135" s="3"/>
      <c r="K135" s="3"/>
      <c r="L135" s="3"/>
    </row>
    <row r="136" spans="3:12">
      <c r="C136" s="3"/>
      <c r="D136" s="5"/>
      <c r="E136" s="3"/>
      <c r="F136" s="3"/>
      <c r="G136" s="3"/>
      <c r="H136" s="3"/>
      <c r="I136" s="3"/>
      <c r="J136" s="3"/>
      <c r="K136" s="3"/>
      <c r="L136" s="3"/>
    </row>
    <row r="137" spans="3:12">
      <c r="C137" s="3"/>
      <c r="D137" s="5"/>
      <c r="E137" s="3"/>
      <c r="F137" s="3"/>
      <c r="G137" s="3"/>
      <c r="H137" s="3"/>
      <c r="I137" s="3"/>
      <c r="J137" s="3"/>
      <c r="K137" s="3"/>
      <c r="L137" s="3"/>
    </row>
    <row r="138" spans="3:12">
      <c r="C138" s="3"/>
      <c r="D138" s="5"/>
      <c r="E138" s="3"/>
      <c r="F138" s="3"/>
      <c r="G138" s="3"/>
      <c r="H138" s="3"/>
      <c r="I138" s="3"/>
      <c r="J138" s="3"/>
      <c r="K138" s="3"/>
      <c r="L138" s="3"/>
    </row>
    <row r="139" spans="3:12">
      <c r="C139" s="3"/>
      <c r="D139" s="5"/>
      <c r="E139" s="3"/>
      <c r="F139" s="3"/>
      <c r="G139" s="3"/>
      <c r="H139" s="3"/>
      <c r="I139" s="3"/>
      <c r="J139" s="3"/>
      <c r="K139" s="3"/>
      <c r="L139" s="3"/>
    </row>
    <row r="140" spans="3:12">
      <c r="C140" s="3"/>
      <c r="D140" s="5"/>
      <c r="E140" s="3"/>
      <c r="F140" s="3"/>
      <c r="G140" s="3"/>
      <c r="H140" s="3"/>
      <c r="I140" s="3"/>
      <c r="J140" s="3"/>
      <c r="K140" s="3"/>
      <c r="L140" s="3"/>
    </row>
    <row r="141" spans="3:12">
      <c r="C141" s="3"/>
      <c r="D141" s="5"/>
      <c r="E141" s="3"/>
      <c r="F141" s="3"/>
      <c r="G141" s="3"/>
      <c r="H141" s="3"/>
      <c r="I141" s="3"/>
      <c r="J141" s="3"/>
      <c r="K141" s="3"/>
      <c r="L141" s="3"/>
    </row>
    <row r="142" spans="3:12">
      <c r="C142" s="3"/>
      <c r="D142" s="5"/>
      <c r="E142" s="3"/>
      <c r="F142" s="3"/>
      <c r="G142" s="3"/>
      <c r="H142" s="3"/>
      <c r="I142" s="3"/>
      <c r="J142" s="3"/>
      <c r="K142" s="3"/>
      <c r="L142" s="3"/>
    </row>
  </sheetData>
  <mergeCells count="3">
    <mergeCell ref="C1:L1"/>
    <mergeCell ref="E8:I8"/>
    <mergeCell ref="H4:I4"/>
  </mergeCells>
  <dataValidations count="5">
    <dataValidation type="list" allowBlank="1" showInputMessage="1" showErrorMessage="1" prompt="Select from the list" sqref="E4" xr:uid="{3C88CCB1-9B4F-4DF2-90FF-5B0C90B06D6C}">
      <formula1>Property_Name</formula1>
    </dataValidation>
    <dataValidation type="list" allowBlank="1" showInputMessage="1" showErrorMessage="1" prompt="Choose From the List" sqref="G6" xr:uid="{D48A9AD6-B250-43FA-A775-A4953FBC521C}">
      <formula1>"Residential, Commercial, Industrial, Raw Land, Special Use"</formula1>
    </dataValidation>
    <dataValidation type="custom" showInputMessage="1" showErrorMessage="1" errorTitle="Invalid" error="Please enter a valid email address" promptTitle="Enter a valid email" prompt="eg. someone@gmail.com" sqref="I10" xr:uid="{B6A21FAC-5000-4B20-A715-49A2800BF3D4}">
      <formula1>M11</formula1>
    </dataValidation>
    <dataValidation type="whole" allowBlank="1" showInputMessage="1" showErrorMessage="1" errorTitle="Error" error="Enter a valid phone nummber _x000a_" promptTitle="Format " prompt="254712345678" sqref="G10 G12" xr:uid="{832D5B9F-93F7-4F38-9869-0B59783FA00E}">
      <formula1>100000000000</formula1>
      <formula2>999999999999</formula2>
    </dataValidation>
    <dataValidation allowBlank="1" showInputMessage="1" showErrorMessage="1" prompt="M-D-YYYY" sqref="I6" xr:uid="{56C99781-A4EA-4E61-98D7-FF77C1FD1A89}"/>
  </dataValidation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389941-B092-44F2-AC32-28660771F5C5}">
  <sheetPr codeName="UnitsTenants"/>
  <dimension ref="A1:O142"/>
  <sheetViews>
    <sheetView showGridLines="0" showRowColHeaders="0" zoomScaleNormal="100" workbookViewId="0">
      <selection activeCell="E8" sqref="E8:I8"/>
    </sheetView>
  </sheetViews>
  <sheetFormatPr defaultColWidth="9" defaultRowHeight="20.25" customHeight="1"/>
  <cols>
    <col min="1" max="1" width="15.75" style="17" customWidth="1"/>
    <col min="2" max="2" width="7.375" style="17" customWidth="1"/>
    <col min="3" max="3" width="19.875" style="1" customWidth="1"/>
    <col min="4" max="4" width="15.125" style="6" customWidth="1"/>
    <col min="5" max="5" width="16.875" style="1" customWidth="1"/>
    <col min="6" max="6" width="9" style="1"/>
    <col min="7" max="7" width="17.625" style="1" customWidth="1"/>
    <col min="8" max="8" width="9" style="1"/>
    <col min="9" max="9" width="24.625" style="1" customWidth="1"/>
    <col min="10" max="10" width="7.125" style="1" customWidth="1"/>
    <col min="11" max="11" width="3.875" style="1" customWidth="1"/>
    <col min="12" max="13" width="9.75" style="1" customWidth="1"/>
    <col min="14" max="14" width="5.875" style="1" customWidth="1"/>
    <col min="15" max="15" width="0.5" style="1" customWidth="1"/>
    <col min="16" max="16384" width="9" style="1"/>
  </cols>
  <sheetData>
    <row r="1" spans="1:15" ht="20.25" customHeight="1">
      <c r="C1" s="80" t="s">
        <v>36</v>
      </c>
      <c r="D1" s="80"/>
      <c r="E1" s="80"/>
      <c r="F1" s="80"/>
      <c r="G1" s="80"/>
      <c r="H1" s="80"/>
      <c r="I1" s="80"/>
      <c r="J1" s="80"/>
      <c r="K1" s="80"/>
      <c r="L1" s="80"/>
      <c r="M1" s="80"/>
      <c r="N1" s="80"/>
    </row>
    <row r="2" spans="1:15" ht="20.25" customHeight="1">
      <c r="C2" s="80"/>
      <c r="D2" s="80"/>
      <c r="E2" s="80"/>
      <c r="F2" s="80"/>
      <c r="G2" s="80"/>
      <c r="H2" s="80"/>
      <c r="I2" s="80"/>
      <c r="J2" s="80"/>
      <c r="K2" s="80"/>
      <c r="L2" s="80"/>
      <c r="M2" s="80"/>
      <c r="N2" s="80"/>
    </row>
    <row r="3" spans="1:15" ht="20.25" customHeight="1" thickBot="1">
      <c r="C3" s="3"/>
      <c r="D3" s="5"/>
      <c r="E3" s="3"/>
      <c r="F3" s="3"/>
      <c r="G3" s="3"/>
      <c r="H3" s="3"/>
      <c r="I3" s="3"/>
      <c r="J3" s="3"/>
      <c r="K3" s="3"/>
      <c r="L3" s="3"/>
      <c r="M3" s="3"/>
      <c r="N3" s="3"/>
    </row>
    <row r="4" spans="1:15" ht="20.25" customHeight="1" thickBot="1">
      <c r="A4" s="21" t="s">
        <v>20</v>
      </c>
      <c r="B4" s="20" t="str">
        <f ca="1">IFERROR(INDEX(Prop_ID,MATCH(E4,Property_Name,0),1),"")</f>
        <v/>
      </c>
      <c r="C4" s="5" t="s">
        <v>37</v>
      </c>
      <c r="D4" s="8" t="s">
        <v>23</v>
      </c>
      <c r="E4" s="16"/>
      <c r="F4" s="3"/>
      <c r="G4" s="8" t="s">
        <v>38</v>
      </c>
      <c r="H4" s="84"/>
      <c r="I4" s="85"/>
      <c r="J4" s="3"/>
      <c r="K4" s="3"/>
      <c r="L4" s="3"/>
      <c r="M4" s="3"/>
      <c r="N4" s="3"/>
    </row>
    <row r="5" spans="1:15" ht="20.25" customHeight="1" thickBot="1">
      <c r="A5" s="21" t="s">
        <v>39</v>
      </c>
      <c r="B5" s="20" t="str">
        <f ca="1">IFERROR(MATCH(H4,Unit_ID,0)+3,"")</f>
        <v/>
      </c>
      <c r="C5" s="10"/>
      <c r="D5" s="5"/>
      <c r="E5" s="3"/>
      <c r="F5" s="3"/>
      <c r="G5" s="3"/>
      <c r="H5" s="3"/>
      <c r="I5" s="3"/>
      <c r="J5" s="3"/>
      <c r="K5" s="3"/>
      <c r="L5" s="3"/>
      <c r="M5" s="3"/>
      <c r="N5" s="3"/>
    </row>
    <row r="6" spans="1:15" ht="20.25" customHeight="1" thickBot="1">
      <c r="A6" s="21" t="s">
        <v>40</v>
      </c>
      <c r="B6" s="20">
        <f ca="1">IFERROR(MAX(Unit_ID)+1,1)</f>
        <v>148</v>
      </c>
      <c r="C6" s="10"/>
      <c r="D6" s="8" t="s">
        <v>41</v>
      </c>
      <c r="E6" s="16"/>
      <c r="F6" s="8" t="s">
        <v>42</v>
      </c>
      <c r="G6" s="16"/>
      <c r="H6" s="8" t="s">
        <v>43</v>
      </c>
      <c r="I6" s="16"/>
      <c r="J6" s="3"/>
      <c r="K6" s="3"/>
      <c r="L6" s="3"/>
      <c r="M6" s="3"/>
      <c r="N6" s="3"/>
    </row>
    <row r="7" spans="1:15" ht="20.25" customHeight="1" thickBot="1">
      <c r="A7" s="21"/>
      <c r="B7" s="20"/>
      <c r="C7" s="10"/>
      <c r="D7" s="5"/>
      <c r="E7" s="3"/>
      <c r="F7" s="3"/>
      <c r="G7" s="3"/>
      <c r="H7" s="3"/>
      <c r="I7" s="3"/>
      <c r="J7" s="3"/>
      <c r="K7" s="3"/>
      <c r="L7" s="3"/>
      <c r="M7" s="3"/>
      <c r="N7" s="3"/>
    </row>
    <row r="8" spans="1:15" ht="20.25" customHeight="1" thickBot="1">
      <c r="C8" s="10"/>
      <c r="D8" s="8" t="s">
        <v>44</v>
      </c>
      <c r="E8" s="82"/>
      <c r="F8" s="83"/>
      <c r="G8" s="83"/>
      <c r="H8" s="83"/>
      <c r="I8" s="83"/>
      <c r="J8" s="3"/>
      <c r="K8" s="3"/>
      <c r="L8" s="3"/>
      <c r="M8" s="3"/>
      <c r="N8" s="3"/>
    </row>
    <row r="9" spans="1:15" ht="20.25" customHeight="1" thickBot="1">
      <c r="C9" s="10"/>
      <c r="D9" s="5"/>
      <c r="E9" s="3"/>
      <c r="F9" s="3"/>
      <c r="G9" s="3"/>
      <c r="H9" s="3"/>
      <c r="I9" s="3"/>
      <c r="J9" s="3"/>
      <c r="K9" s="3"/>
      <c r="L9" s="3"/>
      <c r="M9" s="3"/>
      <c r="N9" s="3"/>
    </row>
    <row r="10" spans="1:15" ht="20.25" customHeight="1" thickBot="1">
      <c r="C10" s="10"/>
      <c r="D10" s="8" t="s">
        <v>45</v>
      </c>
      <c r="E10" s="32"/>
      <c r="F10" s="8" t="s">
        <v>46</v>
      </c>
      <c r="G10" s="24"/>
      <c r="H10" s="8" t="s">
        <v>47</v>
      </c>
      <c r="I10" s="22"/>
      <c r="J10" s="3"/>
      <c r="K10" s="3"/>
      <c r="L10" s="3"/>
      <c r="M10" s="3"/>
      <c r="N10" s="3"/>
    </row>
    <row r="11" spans="1:15" ht="20.25" customHeight="1" thickBot="1">
      <c r="C11" s="10"/>
      <c r="D11" s="5"/>
      <c r="E11" s="3"/>
      <c r="F11" s="3"/>
      <c r="G11" s="3"/>
      <c r="H11" s="3"/>
      <c r="I11" s="3"/>
      <c r="J11" s="3"/>
      <c r="K11" s="3"/>
      <c r="L11" s="3"/>
      <c r="M11" s="3"/>
      <c r="N11" s="3"/>
      <c r="O11" s="23" t="b">
        <f>AND(ISERROR(FIND(" ",I10)),LEN(I10)-LEN(SUBSTITUTE(I10,"@",""))=1,IFERROR(SEARCH("@",I10)&lt;SEARCH(".",I10,SEARCH("@",I10)),0),NOT(IFERROR(SEARCH("@",I10),0)=1),NOT(IFERROR(SEARCH(".",I10,SEARCH("@",I10))-SEARCH("@",I10),0)=1),LEFT(I10,1)&lt;&gt;".",RIGHT(I10,1)&lt;&gt;".")</f>
        <v>0</v>
      </c>
    </row>
    <row r="12" spans="1:15" ht="20.25" customHeight="1" thickBot="1">
      <c r="C12" s="10"/>
      <c r="D12" s="8" t="s">
        <v>48</v>
      </c>
      <c r="E12" s="32"/>
      <c r="F12" s="8" t="s">
        <v>49</v>
      </c>
      <c r="G12" s="24"/>
      <c r="H12" s="8" t="s">
        <v>50</v>
      </c>
      <c r="I12" s="22"/>
      <c r="J12" s="3"/>
      <c r="K12" s="3"/>
      <c r="L12" s="3"/>
      <c r="M12" s="3"/>
      <c r="N12" s="3"/>
    </row>
    <row r="13" spans="1:15" ht="20.25" customHeight="1" thickBot="1">
      <c r="C13" s="10"/>
      <c r="D13" s="5"/>
      <c r="E13" s="3"/>
      <c r="F13" s="3"/>
      <c r="G13" s="3"/>
      <c r="H13" s="3"/>
      <c r="I13" s="3"/>
      <c r="J13" s="3"/>
      <c r="K13" s="3"/>
      <c r="L13" s="3"/>
      <c r="M13" s="3"/>
      <c r="N13" s="3"/>
      <c r="O13" s="23" t="e">
        <f>AND(ISERROR(FIND(" ",#REF!)),LEN(#REF!)-LEN(SUBSTITUTE(#REF!,"@",""))=1,IFERROR(SEARCH("@",#REF!)&lt;SEARCH(".",#REF!,SEARCH("@",#REF!)),0),NOT(IFERROR(SEARCH("@",#REF!),0)=1),NOT(IFERROR(SEARCH(".",#REF!,SEARCH("@",#REF!))-SEARCH("@",#REF!),0)=1),LEFT(#REF!,1)&lt;&gt;".",RIGHT(#REF!,1)&lt;&gt;".")</f>
        <v>#REF!</v>
      </c>
    </row>
    <row r="14" spans="1:15" ht="20.25" customHeight="1" thickBot="1">
      <c r="C14" s="10"/>
      <c r="D14" s="5"/>
      <c r="E14" s="3"/>
      <c r="F14" s="3"/>
      <c r="G14" s="3"/>
      <c r="H14" s="3"/>
      <c r="I14" s="3"/>
      <c r="J14" s="3"/>
      <c r="K14" s="3"/>
      <c r="L14" s="3"/>
      <c r="M14" s="3"/>
      <c r="N14" s="3"/>
    </row>
    <row r="15" spans="1:15" ht="20.25" customHeight="1" thickBot="1">
      <c r="C15" s="10"/>
      <c r="D15" s="5"/>
      <c r="E15" s="3"/>
      <c r="F15" s="3"/>
      <c r="G15" s="3"/>
      <c r="H15" s="3"/>
      <c r="I15" s="3"/>
      <c r="J15" s="3"/>
      <c r="K15" s="3"/>
      <c r="L15" s="3"/>
      <c r="M15" s="3"/>
      <c r="N15" s="3"/>
    </row>
    <row r="16" spans="1:15" ht="20.25" customHeight="1">
      <c r="C16" s="3"/>
      <c r="D16" s="5"/>
      <c r="E16" s="3"/>
      <c r="F16" s="3"/>
      <c r="G16" s="3"/>
      <c r="H16" s="3"/>
      <c r="I16" s="3"/>
      <c r="J16" s="3"/>
      <c r="K16" s="3"/>
      <c r="L16" s="3"/>
      <c r="M16" s="3"/>
      <c r="N16" s="3"/>
    </row>
    <row r="17" spans="3:14" ht="20.25" customHeight="1">
      <c r="C17" s="3"/>
      <c r="D17" s="5"/>
      <c r="E17" s="3"/>
      <c r="F17" s="3"/>
      <c r="G17" s="3"/>
      <c r="H17" s="3"/>
      <c r="I17" s="3"/>
      <c r="J17" s="3"/>
      <c r="K17" s="3"/>
      <c r="L17" s="3"/>
      <c r="M17" s="3"/>
      <c r="N17" s="3"/>
    </row>
    <row r="18" spans="3:14" ht="20.25" customHeight="1">
      <c r="C18" s="3"/>
      <c r="D18" s="5"/>
      <c r="E18" s="3"/>
      <c r="F18" s="3"/>
      <c r="G18" s="3"/>
      <c r="H18" s="3"/>
      <c r="I18" s="3"/>
      <c r="J18" s="3"/>
      <c r="K18" s="3"/>
      <c r="L18" s="3"/>
      <c r="M18" s="3"/>
      <c r="N18" s="3"/>
    </row>
    <row r="19" spans="3:14" ht="20.25" customHeight="1">
      <c r="C19" s="3"/>
      <c r="D19" s="5"/>
      <c r="E19" s="3"/>
      <c r="F19" s="3"/>
      <c r="G19" s="3"/>
      <c r="H19" s="3"/>
      <c r="I19" s="3"/>
      <c r="J19" s="3"/>
      <c r="K19" s="3"/>
      <c r="L19" s="3"/>
      <c r="M19" s="3"/>
      <c r="N19" s="3"/>
    </row>
    <row r="20" spans="3:14" ht="20.25" customHeight="1">
      <c r="C20" s="3"/>
      <c r="D20" s="5"/>
      <c r="E20" s="3"/>
      <c r="F20" s="3"/>
      <c r="G20" s="3"/>
      <c r="H20" s="3"/>
      <c r="I20" s="3"/>
      <c r="J20" s="3"/>
      <c r="K20" s="3"/>
      <c r="L20" s="3"/>
      <c r="M20" s="3"/>
      <c r="N20" s="3"/>
    </row>
    <row r="21" spans="3:14" ht="20.25" customHeight="1">
      <c r="C21" s="3"/>
      <c r="D21" s="5"/>
      <c r="E21" s="3"/>
      <c r="F21" s="3"/>
      <c r="G21" s="3"/>
      <c r="H21" s="3"/>
      <c r="I21" s="3"/>
      <c r="J21" s="3"/>
      <c r="K21" s="3"/>
      <c r="L21" s="3"/>
      <c r="M21" s="3"/>
      <c r="N21" s="3"/>
    </row>
    <row r="22" spans="3:14" ht="20.25" customHeight="1">
      <c r="C22" s="3"/>
      <c r="D22" s="5"/>
      <c r="E22" s="3"/>
      <c r="F22" s="3"/>
      <c r="G22" s="3"/>
      <c r="H22" s="3"/>
      <c r="I22" s="3"/>
      <c r="J22" s="3"/>
      <c r="K22" s="3"/>
      <c r="L22" s="3"/>
      <c r="M22" s="3"/>
      <c r="N22" s="3"/>
    </row>
    <row r="23" spans="3:14" ht="20.25" customHeight="1">
      <c r="C23" s="3"/>
      <c r="D23" s="5"/>
      <c r="E23" s="3"/>
      <c r="F23" s="3"/>
      <c r="G23" s="3"/>
      <c r="H23" s="3"/>
      <c r="I23" s="3"/>
      <c r="J23" s="3"/>
      <c r="K23" s="3"/>
      <c r="L23" s="3"/>
      <c r="M23" s="3"/>
      <c r="N23" s="3"/>
    </row>
    <row r="24" spans="3:14" ht="20.25" customHeight="1">
      <c r="C24" s="3"/>
      <c r="D24" s="5"/>
      <c r="E24" s="3"/>
      <c r="F24" s="3"/>
      <c r="G24" s="3"/>
      <c r="H24" s="3"/>
      <c r="I24" s="3"/>
      <c r="J24" s="3"/>
      <c r="K24" s="3"/>
      <c r="L24" s="3"/>
      <c r="M24" s="3"/>
      <c r="N24" s="3"/>
    </row>
    <row r="25" spans="3:14" ht="20.25" customHeight="1">
      <c r="C25" s="3"/>
      <c r="D25" s="5"/>
      <c r="E25" s="3"/>
      <c r="F25" s="3"/>
      <c r="G25" s="3"/>
      <c r="H25" s="3"/>
      <c r="I25" s="3"/>
      <c r="J25" s="3"/>
      <c r="K25" s="3"/>
      <c r="L25" s="3"/>
      <c r="M25" s="3"/>
      <c r="N25" s="3"/>
    </row>
    <row r="26" spans="3:14" ht="20.25" customHeight="1">
      <c r="C26" s="3"/>
      <c r="D26" s="5"/>
      <c r="E26" s="3"/>
      <c r="F26" s="3"/>
      <c r="G26" s="3"/>
      <c r="H26" s="3"/>
      <c r="I26" s="3"/>
      <c r="J26" s="3"/>
      <c r="K26" s="3"/>
      <c r="L26" s="3"/>
      <c r="M26" s="3"/>
      <c r="N26" s="3"/>
    </row>
    <row r="27" spans="3:14" ht="20.25" customHeight="1">
      <c r="C27" s="3"/>
      <c r="D27" s="5"/>
      <c r="E27" s="3"/>
      <c r="F27" s="3"/>
      <c r="G27" s="3"/>
      <c r="H27" s="3"/>
      <c r="I27" s="3"/>
      <c r="J27" s="3"/>
      <c r="K27" s="3"/>
      <c r="L27" s="3"/>
      <c r="M27" s="3"/>
      <c r="N27" s="3"/>
    </row>
    <row r="28" spans="3:14" ht="20.25" customHeight="1">
      <c r="C28" s="3"/>
      <c r="D28" s="5"/>
      <c r="E28" s="3"/>
      <c r="F28" s="3"/>
      <c r="G28" s="3"/>
      <c r="H28" s="3"/>
      <c r="I28" s="3"/>
      <c r="J28" s="3"/>
      <c r="K28" s="3"/>
      <c r="L28" s="3"/>
      <c r="M28" s="3"/>
      <c r="N28" s="3"/>
    </row>
    <row r="29" spans="3:14" ht="20.25" customHeight="1">
      <c r="C29" s="3"/>
      <c r="D29" s="5"/>
      <c r="E29" s="3"/>
      <c r="F29" s="3"/>
      <c r="G29" s="3"/>
      <c r="H29" s="3"/>
      <c r="I29" s="3"/>
      <c r="J29" s="3"/>
      <c r="K29" s="3"/>
      <c r="L29" s="3"/>
      <c r="M29" s="3"/>
      <c r="N29" s="3"/>
    </row>
    <row r="30" spans="3:14" ht="20.25" customHeight="1">
      <c r="C30" s="3"/>
      <c r="D30" s="5"/>
      <c r="E30" s="3"/>
      <c r="F30" s="3"/>
      <c r="G30" s="3"/>
      <c r="H30" s="3"/>
      <c r="I30" s="3"/>
      <c r="J30" s="3"/>
      <c r="K30" s="3"/>
      <c r="L30" s="3"/>
      <c r="M30" s="3"/>
      <c r="N30" s="3"/>
    </row>
    <row r="31" spans="3:14" ht="20.25" customHeight="1">
      <c r="C31" s="3"/>
      <c r="D31" s="5"/>
      <c r="E31" s="3"/>
      <c r="F31" s="3"/>
      <c r="G31" s="3"/>
      <c r="H31" s="3"/>
      <c r="I31" s="3"/>
      <c r="J31" s="3"/>
      <c r="K31" s="3"/>
      <c r="L31" s="3"/>
      <c r="M31" s="3"/>
      <c r="N31" s="3"/>
    </row>
    <row r="32" spans="3:14" ht="20.25" customHeight="1">
      <c r="C32" s="3"/>
      <c r="D32" s="5"/>
      <c r="E32" s="3"/>
      <c r="F32" s="3"/>
      <c r="G32" s="3"/>
      <c r="H32" s="3"/>
      <c r="I32" s="3"/>
      <c r="J32" s="3"/>
      <c r="K32" s="3"/>
      <c r="L32" s="3"/>
      <c r="M32" s="3"/>
      <c r="N32" s="3"/>
    </row>
    <row r="33" spans="3:14" ht="20.25" customHeight="1">
      <c r="C33" s="3"/>
      <c r="D33" s="5"/>
      <c r="E33" s="3"/>
      <c r="F33" s="3"/>
      <c r="G33" s="3"/>
      <c r="H33" s="3"/>
      <c r="I33" s="3"/>
      <c r="J33" s="3"/>
      <c r="K33" s="3"/>
      <c r="L33" s="3"/>
      <c r="M33" s="3"/>
      <c r="N33" s="3"/>
    </row>
    <row r="34" spans="3:14" ht="20.25" customHeight="1">
      <c r="C34" s="3"/>
      <c r="D34" s="5"/>
      <c r="E34" s="3"/>
      <c r="F34" s="3"/>
      <c r="G34" s="3"/>
      <c r="H34" s="3"/>
      <c r="I34" s="3"/>
      <c r="J34" s="3"/>
      <c r="K34" s="3"/>
      <c r="L34" s="3"/>
      <c r="M34" s="3"/>
      <c r="N34" s="3"/>
    </row>
    <row r="35" spans="3:14" ht="20.25" customHeight="1">
      <c r="C35" s="3"/>
      <c r="D35" s="5"/>
      <c r="E35" s="3"/>
      <c r="F35" s="3"/>
      <c r="G35" s="3"/>
      <c r="H35" s="3"/>
      <c r="I35" s="3"/>
      <c r="J35" s="3"/>
      <c r="K35" s="3"/>
      <c r="L35" s="3"/>
      <c r="M35" s="3"/>
      <c r="N35" s="3"/>
    </row>
    <row r="36" spans="3:14" ht="20.25" customHeight="1">
      <c r="C36" s="3"/>
      <c r="D36" s="5"/>
      <c r="E36" s="3"/>
      <c r="F36" s="3"/>
      <c r="G36" s="3"/>
      <c r="H36" s="3"/>
      <c r="I36" s="3"/>
      <c r="J36" s="3"/>
      <c r="K36" s="3"/>
      <c r="L36" s="3"/>
      <c r="M36" s="3"/>
      <c r="N36" s="3"/>
    </row>
    <row r="37" spans="3:14" ht="20.25" customHeight="1">
      <c r="C37" s="3"/>
      <c r="D37" s="5"/>
      <c r="E37" s="3"/>
      <c r="F37" s="3"/>
      <c r="G37" s="3"/>
      <c r="H37" s="3"/>
      <c r="I37" s="3"/>
      <c r="J37" s="3"/>
      <c r="K37" s="3"/>
      <c r="L37" s="3"/>
      <c r="M37" s="3"/>
      <c r="N37" s="3"/>
    </row>
    <row r="38" spans="3:14" ht="20.25" customHeight="1">
      <c r="C38" s="3"/>
      <c r="D38" s="5"/>
      <c r="E38" s="3"/>
      <c r="F38" s="3"/>
      <c r="G38" s="3"/>
      <c r="H38" s="3"/>
      <c r="I38" s="3"/>
      <c r="J38" s="3"/>
      <c r="K38" s="3"/>
      <c r="L38" s="3"/>
      <c r="M38" s="3"/>
      <c r="N38" s="3"/>
    </row>
    <row r="39" spans="3:14" ht="20.25" customHeight="1">
      <c r="C39" s="3"/>
      <c r="D39" s="5"/>
      <c r="E39" s="3"/>
      <c r="F39" s="3"/>
      <c r="G39" s="3"/>
      <c r="H39" s="3"/>
      <c r="I39" s="3"/>
      <c r="J39" s="3"/>
      <c r="K39" s="3"/>
      <c r="L39" s="3"/>
      <c r="M39" s="3"/>
      <c r="N39" s="3"/>
    </row>
    <row r="40" spans="3:14" ht="20.25" customHeight="1">
      <c r="C40" s="3"/>
      <c r="D40" s="5"/>
      <c r="E40" s="3"/>
      <c r="F40" s="3"/>
      <c r="G40" s="3"/>
      <c r="H40" s="3"/>
      <c r="I40" s="3"/>
      <c r="J40" s="3"/>
      <c r="K40" s="3"/>
      <c r="L40" s="3"/>
      <c r="M40" s="3"/>
      <c r="N40" s="3"/>
    </row>
    <row r="41" spans="3:14" ht="20.25" customHeight="1">
      <c r="C41" s="3"/>
      <c r="D41" s="5"/>
      <c r="E41" s="3"/>
      <c r="F41" s="3"/>
      <c r="G41" s="3"/>
      <c r="H41" s="3"/>
      <c r="I41" s="3"/>
      <c r="J41" s="3"/>
      <c r="K41" s="3"/>
      <c r="L41" s="3"/>
      <c r="M41" s="3"/>
      <c r="N41" s="3"/>
    </row>
    <row r="42" spans="3:14" ht="20.25" customHeight="1">
      <c r="C42" s="3"/>
      <c r="D42" s="5"/>
      <c r="E42" s="3"/>
      <c r="F42" s="3"/>
      <c r="G42" s="3"/>
      <c r="H42" s="3"/>
      <c r="I42" s="3"/>
      <c r="J42" s="3"/>
      <c r="K42" s="3"/>
      <c r="L42" s="3"/>
      <c r="M42" s="3"/>
      <c r="N42" s="3"/>
    </row>
    <row r="43" spans="3:14" ht="20.25" customHeight="1">
      <c r="C43" s="3"/>
      <c r="D43" s="5"/>
      <c r="E43" s="3"/>
      <c r="F43" s="3"/>
      <c r="G43" s="3"/>
      <c r="H43" s="3"/>
      <c r="I43" s="3"/>
      <c r="J43" s="3"/>
      <c r="K43" s="3"/>
      <c r="L43" s="3"/>
      <c r="M43" s="3"/>
      <c r="N43" s="3"/>
    </row>
    <row r="44" spans="3:14" ht="20.25" customHeight="1">
      <c r="C44" s="3"/>
      <c r="D44" s="5"/>
      <c r="E44" s="3"/>
      <c r="F44" s="3"/>
      <c r="G44" s="3"/>
      <c r="H44" s="3"/>
      <c r="I44" s="3"/>
      <c r="J44" s="3"/>
      <c r="K44" s="3"/>
      <c r="L44" s="3"/>
      <c r="M44" s="3"/>
      <c r="N44" s="3"/>
    </row>
    <row r="45" spans="3:14" ht="20.25" customHeight="1">
      <c r="C45" s="3"/>
      <c r="D45" s="5"/>
      <c r="E45" s="3"/>
      <c r="F45" s="3"/>
      <c r="G45" s="3"/>
      <c r="H45" s="3"/>
      <c r="I45" s="3"/>
      <c r="J45" s="3"/>
      <c r="K45" s="3"/>
      <c r="L45" s="3"/>
      <c r="M45" s="3"/>
      <c r="N45" s="3"/>
    </row>
    <row r="46" spans="3:14" ht="20.25" customHeight="1">
      <c r="C46" s="3"/>
      <c r="D46" s="5"/>
      <c r="E46" s="3"/>
      <c r="F46" s="3"/>
      <c r="G46" s="3"/>
      <c r="H46" s="3"/>
      <c r="I46" s="3"/>
      <c r="J46" s="3"/>
      <c r="K46" s="3"/>
      <c r="L46" s="3"/>
      <c r="M46" s="3"/>
      <c r="N46" s="3"/>
    </row>
    <row r="47" spans="3:14" ht="20.25" customHeight="1">
      <c r="C47" s="3"/>
      <c r="D47" s="5"/>
      <c r="E47" s="3"/>
      <c r="F47" s="3"/>
      <c r="G47" s="3"/>
      <c r="H47" s="3"/>
      <c r="I47" s="3"/>
      <c r="J47" s="3"/>
      <c r="K47" s="3"/>
      <c r="L47" s="3"/>
      <c r="M47" s="3"/>
      <c r="N47" s="3"/>
    </row>
    <row r="48" spans="3:14" ht="20.25" customHeight="1">
      <c r="C48" s="3"/>
      <c r="D48" s="5"/>
      <c r="E48" s="3"/>
      <c r="F48" s="3"/>
      <c r="G48" s="3"/>
      <c r="H48" s="3"/>
      <c r="I48" s="3"/>
      <c r="J48" s="3"/>
      <c r="K48" s="3"/>
      <c r="L48" s="3"/>
      <c r="M48" s="3"/>
      <c r="N48" s="3"/>
    </row>
    <row r="49" spans="3:14" ht="20.25" customHeight="1">
      <c r="C49" s="3"/>
      <c r="D49" s="5"/>
      <c r="E49" s="3"/>
      <c r="F49" s="3"/>
      <c r="G49" s="3"/>
      <c r="H49" s="3"/>
      <c r="I49" s="3"/>
      <c r="J49" s="3"/>
      <c r="K49" s="3"/>
      <c r="L49" s="3"/>
      <c r="M49" s="3"/>
      <c r="N49" s="3"/>
    </row>
    <row r="50" spans="3:14" ht="20.25" customHeight="1">
      <c r="C50" s="3"/>
      <c r="D50" s="5"/>
      <c r="E50" s="3"/>
      <c r="F50" s="3"/>
      <c r="G50" s="3"/>
      <c r="H50" s="3"/>
      <c r="I50" s="3"/>
      <c r="J50" s="3"/>
      <c r="K50" s="3"/>
      <c r="L50" s="3"/>
      <c r="M50" s="3"/>
      <c r="N50" s="3"/>
    </row>
    <row r="51" spans="3:14" ht="20.25" customHeight="1">
      <c r="C51" s="3"/>
      <c r="D51" s="5"/>
      <c r="E51" s="3"/>
      <c r="F51" s="3"/>
      <c r="G51" s="3"/>
      <c r="H51" s="3"/>
      <c r="I51" s="3"/>
      <c r="J51" s="3"/>
      <c r="K51" s="3"/>
      <c r="L51" s="3"/>
      <c r="M51" s="3"/>
      <c r="N51" s="3"/>
    </row>
    <row r="52" spans="3:14" ht="20.25" customHeight="1">
      <c r="C52" s="3"/>
      <c r="D52" s="5"/>
      <c r="E52" s="3"/>
      <c r="F52" s="3"/>
      <c r="G52" s="3"/>
      <c r="H52" s="3"/>
      <c r="I52" s="3"/>
      <c r="J52" s="3"/>
      <c r="K52" s="3"/>
      <c r="L52" s="3"/>
      <c r="M52" s="3"/>
      <c r="N52" s="3"/>
    </row>
    <row r="53" spans="3:14" ht="20.25" customHeight="1">
      <c r="C53" s="3"/>
      <c r="D53" s="5"/>
      <c r="E53" s="3"/>
      <c r="F53" s="3"/>
      <c r="G53" s="3"/>
      <c r="H53" s="3"/>
      <c r="I53" s="3"/>
      <c r="J53" s="3"/>
      <c r="K53" s="3"/>
      <c r="L53" s="3"/>
      <c r="M53" s="3"/>
      <c r="N53" s="3"/>
    </row>
    <row r="54" spans="3:14" ht="20.25" customHeight="1">
      <c r="C54" s="3"/>
      <c r="D54" s="5"/>
      <c r="E54" s="3"/>
      <c r="F54" s="3"/>
      <c r="G54" s="3"/>
      <c r="H54" s="3"/>
      <c r="I54" s="3"/>
      <c r="J54" s="3"/>
      <c r="K54" s="3"/>
      <c r="L54" s="3"/>
      <c r="M54" s="3"/>
      <c r="N54" s="3"/>
    </row>
    <row r="55" spans="3:14" ht="20.25" customHeight="1">
      <c r="C55" s="3"/>
      <c r="D55" s="5"/>
      <c r="E55" s="3"/>
      <c r="F55" s="3"/>
      <c r="G55" s="3"/>
      <c r="H55" s="3"/>
      <c r="I55" s="3"/>
      <c r="J55" s="3"/>
      <c r="K55" s="3"/>
      <c r="L55" s="3"/>
      <c r="M55" s="3"/>
      <c r="N55" s="3"/>
    </row>
    <row r="56" spans="3:14" ht="20.25" customHeight="1">
      <c r="C56" s="3"/>
      <c r="D56" s="5"/>
      <c r="E56" s="3"/>
      <c r="F56" s="3"/>
      <c r="G56" s="3"/>
      <c r="H56" s="3"/>
      <c r="I56" s="3"/>
      <c r="J56" s="3"/>
      <c r="K56" s="3"/>
      <c r="L56" s="3"/>
      <c r="M56" s="3"/>
      <c r="N56" s="3"/>
    </row>
    <row r="57" spans="3:14" ht="20.25" customHeight="1">
      <c r="C57" s="3"/>
      <c r="D57" s="5"/>
      <c r="E57" s="3"/>
      <c r="F57" s="3"/>
      <c r="G57" s="3"/>
      <c r="H57" s="3"/>
      <c r="I57" s="3"/>
      <c r="J57" s="3"/>
      <c r="K57" s="3"/>
      <c r="L57" s="3"/>
      <c r="M57" s="3"/>
      <c r="N57" s="3"/>
    </row>
    <row r="58" spans="3:14" ht="20.25" customHeight="1">
      <c r="C58" s="3"/>
      <c r="D58" s="5"/>
      <c r="E58" s="3"/>
      <c r="F58" s="3"/>
      <c r="G58" s="3"/>
      <c r="H58" s="3"/>
      <c r="I58" s="3"/>
      <c r="J58" s="3"/>
      <c r="K58" s="3"/>
      <c r="L58" s="3"/>
      <c r="M58" s="3"/>
      <c r="N58" s="3"/>
    </row>
    <row r="59" spans="3:14" ht="20.25" customHeight="1">
      <c r="C59" s="3"/>
      <c r="D59" s="5"/>
      <c r="E59" s="3"/>
      <c r="F59" s="3"/>
      <c r="G59" s="3"/>
      <c r="H59" s="3"/>
      <c r="I59" s="3"/>
      <c r="J59" s="3"/>
      <c r="K59" s="3"/>
      <c r="L59" s="3"/>
      <c r="M59" s="3"/>
      <c r="N59" s="3"/>
    </row>
    <row r="60" spans="3:14" ht="20.25" customHeight="1">
      <c r="C60" s="3"/>
      <c r="D60" s="5"/>
      <c r="E60" s="3"/>
      <c r="F60" s="3"/>
      <c r="G60" s="3"/>
      <c r="H60" s="3"/>
      <c r="I60" s="3"/>
      <c r="J60" s="3"/>
      <c r="K60" s="3"/>
      <c r="L60" s="3"/>
      <c r="M60" s="3"/>
      <c r="N60" s="3"/>
    </row>
    <row r="61" spans="3:14" ht="20.25" customHeight="1">
      <c r="C61" s="3"/>
      <c r="D61" s="5"/>
      <c r="E61" s="3"/>
      <c r="F61" s="3"/>
      <c r="G61" s="3"/>
      <c r="H61" s="3"/>
      <c r="I61" s="3"/>
      <c r="J61" s="3"/>
      <c r="K61" s="3"/>
      <c r="L61" s="3"/>
      <c r="M61" s="3"/>
      <c r="N61" s="3"/>
    </row>
    <row r="62" spans="3:14" ht="20.25" customHeight="1">
      <c r="C62" s="3"/>
      <c r="D62" s="5"/>
      <c r="E62" s="3"/>
      <c r="F62" s="3"/>
      <c r="G62" s="3"/>
      <c r="H62" s="3"/>
      <c r="I62" s="3"/>
      <c r="J62" s="3"/>
      <c r="K62" s="3"/>
      <c r="L62" s="3"/>
      <c r="M62" s="3"/>
      <c r="N62" s="3"/>
    </row>
    <row r="63" spans="3:14" ht="20.25" customHeight="1">
      <c r="C63" s="3"/>
      <c r="D63" s="5"/>
      <c r="E63" s="3"/>
      <c r="F63" s="3"/>
      <c r="G63" s="3"/>
      <c r="H63" s="3"/>
      <c r="I63" s="3"/>
      <c r="J63" s="3"/>
      <c r="K63" s="3"/>
      <c r="L63" s="3"/>
      <c r="M63" s="3"/>
      <c r="N63" s="3"/>
    </row>
    <row r="64" spans="3:14" ht="20.25" customHeight="1">
      <c r="C64" s="3"/>
      <c r="D64" s="5"/>
      <c r="E64" s="3"/>
      <c r="F64" s="3"/>
      <c r="G64" s="3"/>
      <c r="H64" s="3"/>
      <c r="I64" s="3"/>
      <c r="J64" s="3"/>
      <c r="K64" s="3"/>
      <c r="L64" s="3"/>
      <c r="M64" s="3"/>
      <c r="N64" s="3"/>
    </row>
    <row r="65" spans="3:14" ht="20.25" customHeight="1">
      <c r="C65" s="3"/>
      <c r="D65" s="5"/>
      <c r="E65" s="3"/>
      <c r="F65" s="3"/>
      <c r="G65" s="3"/>
      <c r="H65" s="3"/>
      <c r="I65" s="3"/>
      <c r="J65" s="3"/>
      <c r="K65" s="3"/>
      <c r="L65" s="3"/>
      <c r="M65" s="3"/>
      <c r="N65" s="3"/>
    </row>
    <row r="66" spans="3:14" ht="20.25" customHeight="1">
      <c r="C66" s="3"/>
      <c r="D66" s="5"/>
      <c r="E66" s="3"/>
      <c r="F66" s="3"/>
      <c r="G66" s="3"/>
      <c r="H66" s="3"/>
      <c r="I66" s="3"/>
      <c r="J66" s="3"/>
      <c r="K66" s="3"/>
      <c r="L66" s="3"/>
      <c r="M66" s="3"/>
      <c r="N66" s="3"/>
    </row>
    <row r="67" spans="3:14" ht="20.25" customHeight="1">
      <c r="C67" s="3"/>
      <c r="D67" s="5"/>
      <c r="E67" s="3"/>
      <c r="F67" s="3"/>
      <c r="G67" s="3"/>
      <c r="H67" s="3"/>
      <c r="I67" s="3"/>
      <c r="J67" s="3"/>
      <c r="K67" s="3"/>
      <c r="L67" s="3"/>
      <c r="M67" s="3"/>
      <c r="N67" s="3"/>
    </row>
    <row r="68" spans="3:14" ht="20.25" customHeight="1">
      <c r="C68" s="3"/>
      <c r="D68" s="5"/>
      <c r="E68" s="3"/>
      <c r="F68" s="3"/>
      <c r="G68" s="3"/>
      <c r="H68" s="3"/>
      <c r="I68" s="3"/>
      <c r="J68" s="3"/>
      <c r="K68" s="3"/>
      <c r="L68" s="3"/>
      <c r="M68" s="3"/>
      <c r="N68" s="3"/>
    </row>
    <row r="69" spans="3:14" ht="20.25" customHeight="1">
      <c r="C69" s="3"/>
      <c r="D69" s="5"/>
      <c r="E69" s="3"/>
      <c r="F69" s="3"/>
      <c r="G69" s="3"/>
      <c r="H69" s="3"/>
      <c r="I69" s="3"/>
      <c r="J69" s="3"/>
      <c r="K69" s="3"/>
      <c r="L69" s="3"/>
      <c r="M69" s="3"/>
      <c r="N69" s="3"/>
    </row>
    <row r="70" spans="3:14" ht="20.25" customHeight="1">
      <c r="C70" s="3"/>
      <c r="D70" s="5"/>
      <c r="E70" s="3"/>
      <c r="F70" s="3"/>
      <c r="G70" s="3"/>
      <c r="H70" s="3"/>
      <c r="I70" s="3"/>
      <c r="J70" s="3"/>
      <c r="K70" s="3"/>
      <c r="L70" s="3"/>
      <c r="M70" s="3"/>
      <c r="N70" s="3"/>
    </row>
    <row r="71" spans="3:14" ht="20.25" customHeight="1">
      <c r="C71" s="3"/>
      <c r="D71" s="5"/>
      <c r="E71" s="3"/>
      <c r="F71" s="3"/>
      <c r="G71" s="3"/>
      <c r="H71" s="3"/>
      <c r="I71" s="3"/>
      <c r="J71" s="3"/>
      <c r="K71" s="3"/>
      <c r="L71" s="3"/>
      <c r="M71" s="3"/>
      <c r="N71" s="3"/>
    </row>
    <row r="72" spans="3:14" ht="20.25" customHeight="1">
      <c r="C72" s="3"/>
      <c r="D72" s="5"/>
      <c r="E72" s="3"/>
      <c r="F72" s="3"/>
      <c r="G72" s="3"/>
      <c r="H72" s="3"/>
      <c r="I72" s="3"/>
      <c r="J72" s="3"/>
      <c r="K72" s="3"/>
      <c r="L72" s="3"/>
      <c r="M72" s="3"/>
      <c r="N72" s="3"/>
    </row>
    <row r="73" spans="3:14" ht="20.25" customHeight="1">
      <c r="C73" s="3"/>
      <c r="D73" s="5"/>
      <c r="E73" s="3"/>
      <c r="F73" s="3"/>
      <c r="G73" s="3"/>
      <c r="H73" s="3"/>
      <c r="I73" s="3"/>
      <c r="J73" s="3"/>
      <c r="K73" s="3"/>
      <c r="L73" s="3"/>
      <c r="M73" s="3"/>
      <c r="N73" s="3"/>
    </row>
    <row r="74" spans="3:14" ht="20.25" customHeight="1">
      <c r="C74" s="3"/>
      <c r="D74" s="5"/>
      <c r="E74" s="3"/>
      <c r="F74" s="3"/>
      <c r="G74" s="3"/>
      <c r="H74" s="3"/>
      <c r="I74" s="3"/>
      <c r="J74" s="3"/>
      <c r="K74" s="3"/>
      <c r="L74" s="3"/>
      <c r="M74" s="3"/>
      <c r="N74" s="3"/>
    </row>
    <row r="75" spans="3:14" ht="20.25" customHeight="1">
      <c r="C75" s="3"/>
      <c r="D75" s="5"/>
      <c r="E75" s="3"/>
      <c r="F75" s="3"/>
      <c r="G75" s="3"/>
      <c r="H75" s="3"/>
      <c r="I75" s="3"/>
      <c r="J75" s="3"/>
      <c r="K75" s="3"/>
      <c r="L75" s="3"/>
      <c r="M75" s="3"/>
      <c r="N75" s="3"/>
    </row>
    <row r="76" spans="3:14" ht="20.25" customHeight="1">
      <c r="C76" s="3"/>
      <c r="D76" s="5"/>
      <c r="E76" s="3"/>
      <c r="F76" s="3"/>
      <c r="G76" s="3"/>
      <c r="H76" s="3"/>
      <c r="I76" s="3"/>
      <c r="J76" s="3"/>
      <c r="K76" s="3"/>
      <c r="L76" s="3"/>
      <c r="M76" s="3"/>
      <c r="N76" s="3"/>
    </row>
    <row r="77" spans="3:14" ht="20.25" customHeight="1">
      <c r="C77" s="3"/>
      <c r="D77" s="5"/>
      <c r="E77" s="3"/>
      <c r="F77" s="3"/>
      <c r="G77" s="3"/>
      <c r="H77" s="3"/>
      <c r="I77" s="3"/>
      <c r="J77" s="3"/>
      <c r="K77" s="3"/>
      <c r="L77" s="3"/>
      <c r="M77" s="3"/>
      <c r="N77" s="3"/>
    </row>
    <row r="78" spans="3:14" ht="20.25" customHeight="1">
      <c r="C78" s="3"/>
      <c r="D78" s="5"/>
      <c r="E78" s="3"/>
      <c r="F78" s="3"/>
      <c r="G78" s="3"/>
      <c r="H78" s="3"/>
      <c r="I78" s="3"/>
      <c r="J78" s="3"/>
      <c r="K78" s="3"/>
      <c r="L78" s="3"/>
      <c r="M78" s="3"/>
      <c r="N78" s="3"/>
    </row>
    <row r="79" spans="3:14" ht="20.25" customHeight="1">
      <c r="C79" s="3"/>
      <c r="D79" s="5"/>
      <c r="E79" s="3"/>
      <c r="F79" s="3"/>
      <c r="G79" s="3"/>
      <c r="H79" s="3"/>
      <c r="I79" s="3"/>
      <c r="J79" s="3"/>
      <c r="K79" s="3"/>
      <c r="L79" s="3"/>
      <c r="M79" s="3"/>
      <c r="N79" s="3"/>
    </row>
    <row r="80" spans="3:14" ht="20.25" customHeight="1">
      <c r="C80" s="3"/>
      <c r="D80" s="5"/>
      <c r="E80" s="3"/>
      <c r="F80" s="3"/>
      <c r="G80" s="3"/>
      <c r="H80" s="3"/>
      <c r="I80" s="3"/>
      <c r="J80" s="3"/>
      <c r="K80" s="3"/>
      <c r="L80" s="3"/>
      <c r="M80" s="3"/>
      <c r="N80" s="3"/>
    </row>
    <row r="81" spans="3:14" ht="20.25" customHeight="1">
      <c r="C81" s="3"/>
      <c r="D81" s="5"/>
      <c r="E81" s="3"/>
      <c r="F81" s="3"/>
      <c r="G81" s="3"/>
      <c r="H81" s="3"/>
      <c r="I81" s="3"/>
      <c r="J81" s="3"/>
      <c r="K81" s="3"/>
      <c r="L81" s="3"/>
      <c r="M81" s="3"/>
      <c r="N81" s="3"/>
    </row>
    <row r="82" spans="3:14" ht="20.25" customHeight="1">
      <c r="C82" s="3"/>
      <c r="D82" s="5"/>
      <c r="E82" s="3"/>
      <c r="F82" s="3"/>
      <c r="G82" s="3"/>
      <c r="H82" s="3"/>
      <c r="I82" s="3"/>
      <c r="J82" s="3"/>
      <c r="K82" s="3"/>
      <c r="L82" s="3"/>
      <c r="M82" s="3"/>
      <c r="N82" s="3"/>
    </row>
    <row r="83" spans="3:14" ht="20.25" customHeight="1">
      <c r="C83" s="3"/>
      <c r="D83" s="5"/>
      <c r="E83" s="3"/>
      <c r="F83" s="3"/>
      <c r="G83" s="3"/>
      <c r="H83" s="3"/>
      <c r="I83" s="3"/>
      <c r="J83" s="3"/>
      <c r="K83" s="3"/>
      <c r="L83" s="3"/>
      <c r="M83" s="3"/>
      <c r="N83" s="3"/>
    </row>
    <row r="84" spans="3:14" ht="20.25" customHeight="1">
      <c r="C84" s="3"/>
      <c r="D84" s="5"/>
      <c r="E84" s="3"/>
      <c r="F84" s="3"/>
      <c r="G84" s="3"/>
      <c r="H84" s="3"/>
      <c r="I84" s="3"/>
      <c r="J84" s="3"/>
      <c r="K84" s="3"/>
      <c r="L84" s="3"/>
      <c r="M84" s="3"/>
      <c r="N84" s="3"/>
    </row>
    <row r="85" spans="3:14" ht="20.25" customHeight="1">
      <c r="C85" s="3"/>
      <c r="D85" s="5"/>
      <c r="E85" s="3"/>
      <c r="F85" s="3"/>
      <c r="G85" s="3"/>
      <c r="H85" s="3"/>
      <c r="I85" s="3"/>
      <c r="J85" s="3"/>
      <c r="K85" s="3"/>
      <c r="L85" s="3"/>
      <c r="M85" s="3"/>
      <c r="N85" s="3"/>
    </row>
    <row r="86" spans="3:14" ht="20.25" customHeight="1">
      <c r="C86" s="3"/>
      <c r="D86" s="5"/>
      <c r="E86" s="3"/>
      <c r="F86" s="3"/>
      <c r="G86" s="3"/>
      <c r="H86" s="3"/>
      <c r="I86" s="3"/>
      <c r="J86" s="3"/>
      <c r="K86" s="3"/>
      <c r="L86" s="3"/>
      <c r="M86" s="3"/>
      <c r="N86" s="3"/>
    </row>
    <row r="87" spans="3:14" ht="20.25" customHeight="1">
      <c r="C87" s="3"/>
      <c r="D87" s="5"/>
      <c r="E87" s="3"/>
      <c r="F87" s="3"/>
      <c r="G87" s="3"/>
      <c r="H87" s="3"/>
      <c r="I87" s="3"/>
      <c r="J87" s="3"/>
      <c r="K87" s="3"/>
      <c r="L87" s="3"/>
      <c r="M87" s="3"/>
      <c r="N87" s="3"/>
    </row>
    <row r="88" spans="3:14" ht="20.25" customHeight="1">
      <c r="C88" s="3"/>
      <c r="D88" s="5"/>
      <c r="E88" s="3"/>
      <c r="F88" s="3"/>
      <c r="G88" s="3"/>
      <c r="H88" s="3"/>
      <c r="I88" s="3"/>
      <c r="J88" s="3"/>
      <c r="K88" s="3"/>
      <c r="L88" s="3"/>
      <c r="M88" s="3"/>
      <c r="N88" s="3"/>
    </row>
    <row r="89" spans="3:14" ht="20.25" customHeight="1">
      <c r="C89" s="3"/>
      <c r="D89" s="5"/>
      <c r="E89" s="3"/>
      <c r="F89" s="3"/>
      <c r="G89" s="3"/>
      <c r="H89" s="3"/>
      <c r="I89" s="3"/>
      <c r="J89" s="3"/>
      <c r="K89" s="3"/>
      <c r="L89" s="3"/>
      <c r="M89" s="3"/>
      <c r="N89" s="3"/>
    </row>
    <row r="90" spans="3:14" ht="20.25" customHeight="1">
      <c r="C90" s="3"/>
      <c r="D90" s="5"/>
      <c r="E90" s="3"/>
      <c r="F90" s="3"/>
      <c r="G90" s="3"/>
      <c r="H90" s="3"/>
      <c r="I90" s="3"/>
      <c r="J90" s="3"/>
      <c r="K90" s="3"/>
      <c r="L90" s="3"/>
      <c r="M90" s="3"/>
      <c r="N90" s="3"/>
    </row>
    <row r="91" spans="3:14" ht="20.25" customHeight="1">
      <c r="C91" s="3"/>
      <c r="D91" s="5"/>
      <c r="E91" s="3"/>
      <c r="F91" s="3"/>
      <c r="G91" s="3"/>
      <c r="H91" s="3"/>
      <c r="I91" s="3"/>
      <c r="J91" s="3"/>
      <c r="K91" s="3"/>
      <c r="L91" s="3"/>
      <c r="M91" s="3"/>
      <c r="N91" s="3"/>
    </row>
    <row r="92" spans="3:14" ht="20.25" customHeight="1">
      <c r="C92" s="3"/>
      <c r="D92" s="5"/>
      <c r="E92" s="3"/>
      <c r="F92" s="3"/>
      <c r="G92" s="3"/>
      <c r="H92" s="3"/>
      <c r="I92" s="3"/>
      <c r="J92" s="3"/>
      <c r="K92" s="3"/>
      <c r="L92" s="3"/>
      <c r="M92" s="3"/>
      <c r="N92" s="3"/>
    </row>
    <row r="93" spans="3:14" ht="20.25" customHeight="1">
      <c r="C93" s="3"/>
      <c r="D93" s="5"/>
      <c r="E93" s="3"/>
      <c r="F93" s="3"/>
      <c r="G93" s="3"/>
      <c r="H93" s="3"/>
      <c r="I93" s="3"/>
      <c r="J93" s="3"/>
      <c r="K93" s="3"/>
      <c r="L93" s="3"/>
      <c r="M93" s="3"/>
      <c r="N93" s="3"/>
    </row>
    <row r="94" spans="3:14" ht="20.25" customHeight="1">
      <c r="C94" s="3"/>
      <c r="D94" s="5"/>
      <c r="E94" s="3"/>
      <c r="F94" s="3"/>
      <c r="G94" s="3"/>
      <c r="H94" s="3"/>
      <c r="I94" s="3"/>
      <c r="J94" s="3"/>
      <c r="K94" s="3"/>
      <c r="L94" s="3"/>
      <c r="M94" s="3"/>
      <c r="N94" s="3"/>
    </row>
    <row r="95" spans="3:14" ht="20.25" customHeight="1">
      <c r="C95" s="3"/>
      <c r="D95" s="5"/>
      <c r="E95" s="3"/>
      <c r="F95" s="3"/>
      <c r="G95" s="3"/>
      <c r="H95" s="3"/>
      <c r="I95" s="3"/>
      <c r="J95" s="3"/>
      <c r="K95" s="3"/>
      <c r="L95" s="3"/>
      <c r="M95" s="3"/>
      <c r="N95" s="3"/>
    </row>
    <row r="96" spans="3:14" ht="20.25" customHeight="1">
      <c r="C96" s="3"/>
      <c r="D96" s="5"/>
      <c r="E96" s="3"/>
      <c r="F96" s="3"/>
      <c r="G96" s="3"/>
      <c r="H96" s="3"/>
      <c r="I96" s="3"/>
      <c r="J96" s="3"/>
      <c r="K96" s="3"/>
      <c r="L96" s="3"/>
      <c r="M96" s="3"/>
      <c r="N96" s="3"/>
    </row>
    <row r="97" spans="3:14" ht="20.25" customHeight="1">
      <c r="C97" s="3"/>
      <c r="D97" s="5"/>
      <c r="E97" s="3"/>
      <c r="F97" s="3"/>
      <c r="G97" s="3"/>
      <c r="H97" s="3"/>
      <c r="I97" s="3"/>
      <c r="J97" s="3"/>
      <c r="K97" s="3"/>
      <c r="L97" s="3"/>
      <c r="M97" s="3"/>
      <c r="N97" s="3"/>
    </row>
    <row r="98" spans="3:14" ht="20.25" customHeight="1">
      <c r="C98" s="3"/>
      <c r="D98" s="5"/>
      <c r="E98" s="3"/>
      <c r="F98" s="3"/>
      <c r="G98" s="3"/>
      <c r="H98" s="3"/>
      <c r="I98" s="3"/>
      <c r="J98" s="3"/>
      <c r="K98" s="3"/>
      <c r="L98" s="3"/>
      <c r="M98" s="3"/>
      <c r="N98" s="3"/>
    </row>
    <row r="99" spans="3:14" ht="20.25" customHeight="1">
      <c r="C99" s="3"/>
      <c r="D99" s="5"/>
      <c r="E99" s="3"/>
      <c r="F99" s="3"/>
      <c r="G99" s="3"/>
      <c r="H99" s="3"/>
      <c r="I99" s="3"/>
      <c r="J99" s="3"/>
      <c r="K99" s="3"/>
      <c r="L99" s="3"/>
      <c r="M99" s="3"/>
      <c r="N99" s="3"/>
    </row>
    <row r="100" spans="3:14" ht="20.25" customHeight="1">
      <c r="C100" s="3"/>
      <c r="D100" s="5"/>
      <c r="E100" s="3"/>
      <c r="F100" s="3"/>
      <c r="G100" s="3"/>
      <c r="H100" s="3"/>
      <c r="I100" s="3"/>
      <c r="J100" s="3"/>
      <c r="K100" s="3"/>
      <c r="L100" s="3"/>
      <c r="M100" s="3"/>
      <c r="N100" s="3"/>
    </row>
    <row r="101" spans="3:14" ht="20.25" customHeight="1">
      <c r="C101" s="3"/>
      <c r="D101" s="5"/>
      <c r="E101" s="3"/>
      <c r="F101" s="3"/>
      <c r="G101" s="3"/>
      <c r="H101" s="3"/>
      <c r="I101" s="3"/>
      <c r="J101" s="3"/>
      <c r="K101" s="3"/>
      <c r="L101" s="3"/>
      <c r="M101" s="3"/>
      <c r="N101" s="3"/>
    </row>
    <row r="102" spans="3:14" ht="20.25" customHeight="1">
      <c r="C102" s="3"/>
      <c r="D102" s="5"/>
      <c r="E102" s="3"/>
      <c r="F102" s="3"/>
      <c r="G102" s="3"/>
      <c r="H102" s="3"/>
      <c r="I102" s="3"/>
      <c r="J102" s="3"/>
      <c r="K102" s="3"/>
      <c r="L102" s="3"/>
      <c r="M102" s="3"/>
      <c r="N102" s="3"/>
    </row>
    <row r="103" spans="3:14" ht="20.25" customHeight="1">
      <c r="C103" s="3"/>
      <c r="D103" s="5"/>
      <c r="E103" s="3"/>
      <c r="F103" s="3"/>
      <c r="G103" s="3"/>
      <c r="H103" s="3"/>
      <c r="I103" s="3"/>
      <c r="J103" s="3"/>
      <c r="K103" s="3"/>
      <c r="L103" s="3"/>
      <c r="M103" s="3"/>
      <c r="N103" s="3"/>
    </row>
    <row r="104" spans="3:14" ht="20.25" customHeight="1">
      <c r="C104" s="3"/>
      <c r="D104" s="5"/>
      <c r="E104" s="3"/>
      <c r="F104" s="3"/>
      <c r="G104" s="3"/>
      <c r="H104" s="3"/>
      <c r="I104" s="3"/>
      <c r="J104" s="3"/>
      <c r="K104" s="3"/>
      <c r="L104" s="3"/>
      <c r="M104" s="3"/>
      <c r="N104" s="3"/>
    </row>
    <row r="105" spans="3:14" ht="20.25" customHeight="1">
      <c r="C105" s="3"/>
      <c r="D105" s="5"/>
      <c r="E105" s="3"/>
      <c r="F105" s="3"/>
      <c r="G105" s="3"/>
      <c r="H105" s="3"/>
      <c r="I105" s="3"/>
      <c r="J105" s="3"/>
      <c r="K105" s="3"/>
      <c r="L105" s="3"/>
      <c r="M105" s="3"/>
      <c r="N105" s="3"/>
    </row>
    <row r="106" spans="3:14" ht="20.25" customHeight="1">
      <c r="C106" s="3"/>
      <c r="D106" s="5"/>
      <c r="E106" s="3"/>
      <c r="F106" s="3"/>
      <c r="G106" s="3"/>
      <c r="H106" s="3"/>
      <c r="I106" s="3"/>
      <c r="J106" s="3"/>
      <c r="K106" s="3"/>
      <c r="L106" s="3"/>
      <c r="M106" s="3"/>
      <c r="N106" s="3"/>
    </row>
    <row r="107" spans="3:14" ht="20.25" customHeight="1">
      <c r="C107" s="3"/>
      <c r="D107" s="5"/>
      <c r="E107" s="3"/>
      <c r="F107" s="3"/>
      <c r="G107" s="3"/>
      <c r="H107" s="3"/>
      <c r="I107" s="3"/>
      <c r="J107" s="3"/>
      <c r="K107" s="3"/>
      <c r="L107" s="3"/>
      <c r="M107" s="3"/>
      <c r="N107" s="3"/>
    </row>
    <row r="108" spans="3:14" ht="20.25" customHeight="1">
      <c r="C108" s="3"/>
      <c r="D108" s="5"/>
      <c r="E108" s="3"/>
      <c r="F108" s="3"/>
      <c r="G108" s="3"/>
      <c r="H108" s="3"/>
      <c r="I108" s="3"/>
      <c r="J108" s="3"/>
      <c r="K108" s="3"/>
      <c r="L108" s="3"/>
      <c r="M108" s="3"/>
      <c r="N108" s="3"/>
    </row>
    <row r="109" spans="3:14" ht="20.25" customHeight="1">
      <c r="C109" s="3"/>
      <c r="D109" s="5"/>
      <c r="E109" s="3"/>
      <c r="F109" s="3"/>
      <c r="G109" s="3"/>
      <c r="H109" s="3"/>
      <c r="I109" s="3"/>
      <c r="J109" s="3"/>
      <c r="K109" s="3"/>
      <c r="L109" s="3"/>
      <c r="M109" s="3"/>
      <c r="N109" s="3"/>
    </row>
    <row r="110" spans="3:14" ht="20.25" customHeight="1">
      <c r="C110" s="3"/>
      <c r="D110" s="5"/>
      <c r="E110" s="3"/>
      <c r="F110" s="3"/>
      <c r="G110" s="3"/>
      <c r="H110" s="3"/>
      <c r="I110" s="3"/>
      <c r="J110" s="3"/>
      <c r="K110" s="3"/>
      <c r="L110" s="3"/>
      <c r="M110" s="3"/>
      <c r="N110" s="3"/>
    </row>
    <row r="111" spans="3:14" ht="20.25" customHeight="1">
      <c r="C111" s="3"/>
      <c r="D111" s="5"/>
      <c r="E111" s="3"/>
      <c r="F111" s="3"/>
      <c r="G111" s="3"/>
      <c r="H111" s="3"/>
      <c r="I111" s="3"/>
      <c r="J111" s="3"/>
      <c r="K111" s="3"/>
      <c r="L111" s="3"/>
      <c r="M111" s="3"/>
      <c r="N111" s="3"/>
    </row>
    <row r="112" spans="3:14" ht="20.25" customHeight="1">
      <c r="C112" s="3"/>
      <c r="D112" s="5"/>
      <c r="E112" s="3"/>
      <c r="F112" s="3"/>
      <c r="G112" s="3"/>
      <c r="H112" s="3"/>
      <c r="I112" s="3"/>
      <c r="J112" s="3"/>
      <c r="K112" s="3"/>
      <c r="L112" s="3"/>
      <c r="M112" s="3"/>
      <c r="N112" s="3"/>
    </row>
    <row r="113" spans="3:14" ht="20.25" customHeight="1">
      <c r="C113" s="3"/>
      <c r="D113" s="5"/>
      <c r="E113" s="3"/>
      <c r="F113" s="3"/>
      <c r="G113" s="3"/>
      <c r="H113" s="3"/>
      <c r="I113" s="3"/>
      <c r="J113" s="3"/>
      <c r="K113" s="3"/>
      <c r="L113" s="3"/>
      <c r="M113" s="3"/>
      <c r="N113" s="3"/>
    </row>
    <row r="114" spans="3:14" ht="20.25" customHeight="1">
      <c r="C114" s="3"/>
      <c r="D114" s="5"/>
      <c r="E114" s="3"/>
      <c r="F114" s="3"/>
      <c r="G114" s="3"/>
      <c r="H114" s="3"/>
      <c r="I114" s="3"/>
      <c r="J114" s="3"/>
      <c r="K114" s="3"/>
      <c r="L114" s="3"/>
      <c r="M114" s="3"/>
      <c r="N114" s="3"/>
    </row>
    <row r="115" spans="3:14" ht="20.25" customHeight="1">
      <c r="C115" s="3"/>
      <c r="D115" s="5"/>
      <c r="E115" s="3"/>
      <c r="F115" s="3"/>
      <c r="G115" s="3"/>
      <c r="H115" s="3"/>
      <c r="I115" s="3"/>
      <c r="J115" s="3"/>
      <c r="K115" s="3"/>
      <c r="L115" s="3"/>
      <c r="M115" s="3"/>
      <c r="N115" s="3"/>
    </row>
    <row r="116" spans="3:14" ht="20.25" customHeight="1">
      <c r="C116" s="3"/>
      <c r="D116" s="5"/>
      <c r="E116" s="3"/>
      <c r="F116" s="3"/>
      <c r="G116" s="3"/>
      <c r="H116" s="3"/>
      <c r="I116" s="3"/>
      <c r="J116" s="3"/>
      <c r="K116" s="3"/>
      <c r="L116" s="3"/>
      <c r="M116" s="3"/>
      <c r="N116" s="3"/>
    </row>
    <row r="117" spans="3:14" ht="20.25" customHeight="1">
      <c r="C117" s="3"/>
      <c r="D117" s="5"/>
      <c r="E117" s="3"/>
      <c r="F117" s="3"/>
      <c r="G117" s="3"/>
      <c r="H117" s="3"/>
      <c r="I117" s="3"/>
      <c r="J117" s="3"/>
      <c r="K117" s="3"/>
      <c r="L117" s="3"/>
      <c r="M117" s="3"/>
      <c r="N117" s="3"/>
    </row>
    <row r="118" spans="3:14" ht="20.25" customHeight="1">
      <c r="C118" s="3"/>
      <c r="D118" s="5"/>
      <c r="E118" s="3"/>
      <c r="F118" s="3"/>
      <c r="G118" s="3"/>
      <c r="H118" s="3"/>
      <c r="I118" s="3"/>
      <c r="J118" s="3"/>
      <c r="K118" s="3"/>
      <c r="L118" s="3"/>
      <c r="M118" s="3"/>
      <c r="N118" s="3"/>
    </row>
    <row r="119" spans="3:14" ht="20.25" customHeight="1">
      <c r="C119" s="3"/>
      <c r="D119" s="5"/>
      <c r="E119" s="3"/>
      <c r="F119" s="3"/>
      <c r="G119" s="3"/>
      <c r="H119" s="3"/>
      <c r="I119" s="3"/>
      <c r="J119" s="3"/>
      <c r="K119" s="3"/>
      <c r="L119" s="3"/>
      <c r="M119" s="3"/>
      <c r="N119" s="3"/>
    </row>
    <row r="120" spans="3:14" ht="20.25" customHeight="1">
      <c r="C120" s="3"/>
      <c r="D120" s="5"/>
      <c r="E120" s="3"/>
      <c r="F120" s="3"/>
      <c r="G120" s="3"/>
      <c r="H120" s="3"/>
      <c r="I120" s="3"/>
      <c r="J120" s="3"/>
      <c r="K120" s="3"/>
      <c r="L120" s="3"/>
      <c r="M120" s="3"/>
      <c r="N120" s="3"/>
    </row>
    <row r="121" spans="3:14" ht="20.25" customHeight="1">
      <c r="C121" s="3"/>
      <c r="D121" s="5"/>
      <c r="E121" s="3"/>
      <c r="F121" s="3"/>
      <c r="G121" s="3"/>
      <c r="H121" s="3"/>
      <c r="I121" s="3"/>
      <c r="J121" s="3"/>
      <c r="K121" s="3"/>
      <c r="L121" s="3"/>
      <c r="M121" s="3"/>
      <c r="N121" s="3"/>
    </row>
    <row r="122" spans="3:14" ht="20.25" customHeight="1">
      <c r="C122" s="3"/>
      <c r="D122" s="5"/>
      <c r="E122" s="3"/>
      <c r="F122" s="3"/>
      <c r="G122" s="3"/>
      <c r="H122" s="3"/>
      <c r="I122" s="3"/>
      <c r="J122" s="3"/>
      <c r="K122" s="3"/>
      <c r="L122" s="3"/>
      <c r="M122" s="3"/>
      <c r="N122" s="3"/>
    </row>
    <row r="123" spans="3:14" ht="20.25" customHeight="1">
      <c r="C123" s="3"/>
      <c r="D123" s="5"/>
      <c r="E123" s="3"/>
      <c r="F123" s="3"/>
      <c r="G123" s="3"/>
      <c r="H123" s="3"/>
      <c r="I123" s="3"/>
      <c r="J123" s="3"/>
      <c r="K123" s="3"/>
      <c r="L123" s="3"/>
      <c r="M123" s="3"/>
      <c r="N123" s="3"/>
    </row>
    <row r="124" spans="3:14" ht="20.25" customHeight="1">
      <c r="C124" s="3"/>
      <c r="D124" s="5"/>
      <c r="E124" s="3"/>
      <c r="F124" s="3"/>
      <c r="G124" s="3"/>
      <c r="H124" s="3"/>
      <c r="I124" s="3"/>
      <c r="J124" s="3"/>
      <c r="K124" s="3"/>
      <c r="L124" s="3"/>
      <c r="M124" s="3"/>
      <c r="N124" s="3"/>
    </row>
    <row r="125" spans="3:14" ht="20.25" customHeight="1">
      <c r="C125" s="3"/>
      <c r="D125" s="5"/>
      <c r="E125" s="3"/>
      <c r="F125" s="3"/>
      <c r="G125" s="3"/>
      <c r="H125" s="3"/>
      <c r="I125" s="3"/>
      <c r="J125" s="3"/>
      <c r="K125" s="3"/>
      <c r="L125" s="3"/>
      <c r="M125" s="3"/>
      <c r="N125" s="3"/>
    </row>
    <row r="126" spans="3:14" ht="20.25" customHeight="1">
      <c r="C126" s="3"/>
      <c r="D126" s="5"/>
      <c r="E126" s="3"/>
      <c r="F126" s="3"/>
      <c r="G126" s="3"/>
      <c r="H126" s="3"/>
      <c r="I126" s="3"/>
      <c r="J126" s="3"/>
      <c r="K126" s="3"/>
      <c r="L126" s="3"/>
      <c r="M126" s="3"/>
      <c r="N126" s="3"/>
    </row>
    <row r="127" spans="3:14" ht="20.25" customHeight="1">
      <c r="C127" s="3"/>
      <c r="D127" s="5"/>
      <c r="E127" s="3"/>
      <c r="F127" s="3"/>
      <c r="G127" s="3"/>
      <c r="H127" s="3"/>
      <c r="I127" s="3"/>
      <c r="J127" s="3"/>
      <c r="K127" s="3"/>
      <c r="L127" s="3"/>
      <c r="M127" s="3"/>
      <c r="N127" s="3"/>
    </row>
    <row r="128" spans="3:14" ht="20.25" customHeight="1">
      <c r="C128" s="3"/>
      <c r="D128" s="5"/>
      <c r="E128" s="3"/>
      <c r="F128" s="3"/>
      <c r="G128" s="3"/>
      <c r="H128" s="3"/>
      <c r="I128" s="3"/>
      <c r="J128" s="3"/>
      <c r="K128" s="3"/>
      <c r="L128" s="3"/>
      <c r="M128" s="3"/>
      <c r="N128" s="3"/>
    </row>
    <row r="129" spans="3:14" ht="20.25" customHeight="1">
      <c r="C129" s="3"/>
      <c r="D129" s="5"/>
      <c r="E129" s="3"/>
      <c r="F129" s="3"/>
      <c r="G129" s="3"/>
      <c r="H129" s="3"/>
      <c r="I129" s="3"/>
      <c r="J129" s="3"/>
      <c r="K129" s="3"/>
      <c r="L129" s="3"/>
      <c r="M129" s="3"/>
      <c r="N129" s="3"/>
    </row>
    <row r="130" spans="3:14" ht="20.25" customHeight="1">
      <c r="C130" s="3"/>
      <c r="D130" s="5"/>
      <c r="E130" s="3"/>
      <c r="F130" s="3"/>
      <c r="G130" s="3"/>
      <c r="H130" s="3"/>
      <c r="I130" s="3"/>
      <c r="J130" s="3"/>
      <c r="K130" s="3"/>
      <c r="L130" s="3"/>
      <c r="M130" s="3"/>
      <c r="N130" s="3"/>
    </row>
    <row r="131" spans="3:14" ht="20.25" customHeight="1">
      <c r="C131" s="3"/>
      <c r="D131" s="5"/>
      <c r="E131" s="3"/>
      <c r="F131" s="3"/>
      <c r="G131" s="3"/>
      <c r="H131" s="3"/>
      <c r="I131" s="3"/>
      <c r="J131" s="3"/>
      <c r="K131" s="3"/>
      <c r="L131" s="3"/>
      <c r="M131" s="3"/>
      <c r="N131" s="3"/>
    </row>
    <row r="132" spans="3:14" ht="20.25" customHeight="1">
      <c r="C132" s="3"/>
      <c r="D132" s="5"/>
      <c r="E132" s="3"/>
      <c r="F132" s="3"/>
      <c r="G132" s="3"/>
      <c r="H132" s="3"/>
      <c r="I132" s="3"/>
      <c r="J132" s="3"/>
      <c r="K132" s="3"/>
      <c r="L132" s="3"/>
      <c r="M132" s="3"/>
      <c r="N132" s="3"/>
    </row>
    <row r="133" spans="3:14" ht="20.25" customHeight="1">
      <c r="C133" s="3"/>
      <c r="D133" s="5"/>
      <c r="E133" s="3"/>
      <c r="F133" s="3"/>
      <c r="G133" s="3"/>
      <c r="H133" s="3"/>
      <c r="I133" s="3"/>
      <c r="J133" s="3"/>
      <c r="K133" s="3"/>
      <c r="L133" s="3"/>
      <c r="M133" s="3"/>
      <c r="N133" s="3"/>
    </row>
    <row r="134" spans="3:14" ht="20.25" customHeight="1">
      <c r="C134" s="3"/>
      <c r="D134" s="5"/>
      <c r="E134" s="3"/>
      <c r="F134" s="3"/>
      <c r="G134" s="3"/>
      <c r="H134" s="3"/>
      <c r="I134" s="3"/>
      <c r="J134" s="3"/>
      <c r="K134" s="3"/>
      <c r="L134" s="3"/>
      <c r="M134" s="3"/>
      <c r="N134" s="3"/>
    </row>
    <row r="135" spans="3:14" ht="20.25" customHeight="1">
      <c r="C135" s="3"/>
      <c r="D135" s="5"/>
      <c r="E135" s="3"/>
      <c r="F135" s="3"/>
      <c r="G135" s="3"/>
      <c r="H135" s="3"/>
      <c r="I135" s="3"/>
      <c r="J135" s="3"/>
      <c r="K135" s="3"/>
      <c r="L135" s="3"/>
      <c r="M135" s="3"/>
      <c r="N135" s="3"/>
    </row>
    <row r="136" spans="3:14" ht="20.25" customHeight="1">
      <c r="C136" s="3"/>
      <c r="D136" s="5"/>
      <c r="E136" s="3"/>
      <c r="F136" s="3"/>
      <c r="G136" s="3"/>
      <c r="H136" s="3"/>
      <c r="I136" s="3"/>
      <c r="J136" s="3"/>
      <c r="K136" s="3"/>
      <c r="L136" s="3"/>
      <c r="M136" s="3"/>
      <c r="N136" s="3"/>
    </row>
    <row r="137" spans="3:14" ht="20.25" customHeight="1">
      <c r="C137" s="3"/>
      <c r="D137" s="5"/>
      <c r="E137" s="3"/>
      <c r="F137" s="3"/>
      <c r="G137" s="3"/>
      <c r="H137" s="3"/>
      <c r="I137" s="3"/>
      <c r="J137" s="3"/>
      <c r="K137" s="3"/>
      <c r="L137" s="3"/>
      <c r="M137" s="3"/>
      <c r="N137" s="3"/>
    </row>
    <row r="138" spans="3:14" ht="20.25" customHeight="1">
      <c r="C138" s="3"/>
      <c r="D138" s="5"/>
      <c r="E138" s="3"/>
      <c r="F138" s="3"/>
      <c r="G138" s="3"/>
      <c r="H138" s="3"/>
      <c r="I138" s="3"/>
      <c r="J138" s="3"/>
      <c r="K138" s="3"/>
      <c r="L138" s="3"/>
      <c r="M138" s="3"/>
      <c r="N138" s="3"/>
    </row>
    <row r="139" spans="3:14" ht="20.25" customHeight="1">
      <c r="C139" s="3"/>
      <c r="D139" s="5"/>
      <c r="E139" s="3"/>
      <c r="F139" s="3"/>
      <c r="G139" s="3"/>
      <c r="H139" s="3"/>
      <c r="I139" s="3"/>
      <c r="J139" s="3"/>
      <c r="K139" s="3"/>
      <c r="L139" s="3"/>
      <c r="M139" s="3"/>
      <c r="N139" s="3"/>
    </row>
    <row r="140" spans="3:14" ht="20.25" customHeight="1">
      <c r="C140" s="3"/>
      <c r="D140" s="5"/>
      <c r="E140" s="3"/>
      <c r="F140" s="3"/>
      <c r="G140" s="3"/>
      <c r="H140" s="3"/>
      <c r="I140" s="3"/>
      <c r="J140" s="3"/>
      <c r="K140" s="3"/>
      <c r="L140" s="3"/>
      <c r="M140" s="3"/>
      <c r="N140" s="3"/>
    </row>
    <row r="141" spans="3:14" ht="20.25" customHeight="1">
      <c r="C141" s="3"/>
      <c r="D141" s="5"/>
      <c r="E141" s="3"/>
      <c r="F141" s="3"/>
      <c r="G141" s="3"/>
      <c r="H141" s="3"/>
      <c r="I141" s="3"/>
      <c r="J141" s="3"/>
      <c r="K141" s="3"/>
      <c r="L141" s="3"/>
      <c r="M141" s="3"/>
      <c r="N141" s="3"/>
    </row>
    <row r="142" spans="3:14" ht="20.25" customHeight="1">
      <c r="C142" s="3"/>
      <c r="D142" s="5"/>
      <c r="E142" s="3"/>
      <c r="F142" s="3"/>
      <c r="G142" s="3"/>
      <c r="H142" s="3"/>
      <c r="I142" s="3"/>
      <c r="J142" s="3"/>
      <c r="K142" s="3"/>
      <c r="L142" s="3"/>
      <c r="M142" s="3"/>
      <c r="N142" s="3"/>
    </row>
  </sheetData>
  <mergeCells count="3">
    <mergeCell ref="E8:I8"/>
    <mergeCell ref="H4:I4"/>
    <mergeCell ref="C1:N2"/>
  </mergeCells>
  <dataValidations count="3">
    <dataValidation type="whole" allowBlank="1" showInputMessage="1" showErrorMessage="1" errorTitle="Error" error="Enter a valid phone nummber _x000a_" promptTitle="Format " prompt="254712345678" sqref="G10 G12" xr:uid="{AD99A1E1-7378-4320-AC78-6926ECA3A5C3}">
      <formula1>100000000000</formula1>
      <formula2>999999999999</formula2>
    </dataValidation>
    <dataValidation type="custom" showInputMessage="1" showErrorMessage="1" errorTitle="Invalid" error="Please enter a valid email address" promptTitle="Enter a valid email" prompt="eg. someone@gmail.com" sqref="I10" xr:uid="{BC4CF966-8951-432B-B718-A33E70932863}">
      <formula1>O11</formula1>
    </dataValidation>
    <dataValidation type="list" allowBlank="1" showInputMessage="1" showErrorMessage="1" prompt="Select from the list" sqref="E4" xr:uid="{DF9F3337-6A31-4D2C-B9A7-32650B22F49D}">
      <formula1>Property_Name</formula1>
    </dataValidation>
  </dataValidation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35A18B-1ABC-4D7F-B62A-DCDC427C6097}">
  <sheetPr codeName="Transactions"/>
  <dimension ref="A1:N142"/>
  <sheetViews>
    <sheetView showGridLines="0" showRowColHeaders="0" workbookViewId="0">
      <selection activeCell="K18" sqref="K18"/>
    </sheetView>
  </sheetViews>
  <sheetFormatPr defaultColWidth="9" defaultRowHeight="17.25"/>
  <cols>
    <col min="1" max="1" width="16.75" style="17" customWidth="1"/>
    <col min="2" max="2" width="1.875" style="17" customWidth="1"/>
    <col min="3" max="3" width="1.5" style="1" customWidth="1"/>
    <col min="4" max="4" width="18.625" style="1" customWidth="1"/>
    <col min="5" max="5" width="1.25" style="1" customWidth="1"/>
    <col min="6" max="6" width="13.5" style="6" customWidth="1"/>
    <col min="7" max="7" width="16.875" style="1" customWidth="1"/>
    <col min="8" max="9" width="9" style="1"/>
    <col min="10" max="10" width="11" style="1" customWidth="1"/>
    <col min="11" max="11" width="16.125" style="1" customWidth="1"/>
    <col min="12" max="12" width="3.625" style="1" customWidth="1"/>
    <col min="13" max="13" width="12" style="1" customWidth="1"/>
    <col min="14" max="16384" width="9" style="1"/>
  </cols>
  <sheetData>
    <row r="1" spans="1:14" ht="32.25" customHeight="1">
      <c r="C1" s="11"/>
      <c r="D1" s="80" t="s">
        <v>51</v>
      </c>
      <c r="E1" s="80"/>
      <c r="F1" s="80"/>
      <c r="G1" s="80"/>
      <c r="H1" s="80"/>
      <c r="I1" s="80"/>
      <c r="J1" s="80"/>
      <c r="K1" s="80"/>
      <c r="L1" s="80"/>
      <c r="M1" s="80"/>
      <c r="N1" s="80"/>
    </row>
    <row r="2" spans="1:14" ht="10.5" customHeight="1">
      <c r="C2" s="2"/>
      <c r="D2" s="2"/>
      <c r="E2" s="2"/>
      <c r="F2" s="4"/>
      <c r="G2" s="2"/>
      <c r="H2" s="2"/>
      <c r="I2" s="2"/>
      <c r="J2" s="2"/>
      <c r="K2" s="2"/>
      <c r="L2" s="2"/>
      <c r="M2" s="2"/>
      <c r="N2" s="2"/>
    </row>
    <row r="3" spans="1:14" ht="18" thickBot="1">
      <c r="C3" s="3"/>
      <c r="D3" s="3"/>
      <c r="E3" s="3"/>
      <c r="F3" s="5"/>
      <c r="G3" s="3"/>
      <c r="H3" s="3"/>
      <c r="I3" s="3"/>
      <c r="J3" s="3"/>
      <c r="K3" s="3"/>
      <c r="L3" s="3"/>
      <c r="M3" s="3"/>
      <c r="N3" s="3"/>
    </row>
    <row r="4" spans="1:14" ht="18" thickBot="1">
      <c r="A4" s="21" t="s">
        <v>20</v>
      </c>
      <c r="B4" s="20" t="str">
        <f ca="1">IFERROR(INDEX(Prop_ID,MATCH(G4,Property_Name,0),1),"")</f>
        <v/>
      </c>
      <c r="C4" s="3"/>
      <c r="D4" s="5" t="s">
        <v>52</v>
      </c>
      <c r="E4" s="3"/>
      <c r="F4" s="8" t="s">
        <v>18</v>
      </c>
      <c r="G4" s="7"/>
      <c r="H4" s="3"/>
      <c r="I4" s="9" t="s">
        <v>53</v>
      </c>
      <c r="J4" s="7"/>
      <c r="K4" s="5"/>
      <c r="L4" s="3"/>
      <c r="M4" s="3"/>
      <c r="N4" s="3"/>
    </row>
    <row r="5" spans="1:14" ht="18" thickBot="1">
      <c r="A5" s="21" t="s">
        <v>54</v>
      </c>
      <c r="B5" s="20" t="str">
        <f ca="1">IFERROR(MATCH(J4,Trans_Id,0)+3,"")</f>
        <v/>
      </c>
      <c r="C5" s="3"/>
      <c r="D5" s="10"/>
      <c r="E5" s="3"/>
      <c r="F5" s="5"/>
      <c r="G5" s="3"/>
      <c r="H5" s="3"/>
      <c r="I5" s="3"/>
      <c r="J5" s="3"/>
      <c r="K5" s="3"/>
      <c r="L5" s="3"/>
      <c r="M5" s="3"/>
      <c r="N5" s="3"/>
    </row>
    <row r="6" spans="1:14" ht="18" thickBot="1">
      <c r="A6" s="21" t="s">
        <v>55</v>
      </c>
      <c r="B6" s="20">
        <f ca="1">IFERROR(MAX(Trans_Id)+1,1)</f>
        <v>167</v>
      </c>
      <c r="C6" s="3"/>
      <c r="D6" s="10"/>
      <c r="E6" s="3"/>
      <c r="F6" s="8" t="s">
        <v>56</v>
      </c>
      <c r="G6" s="7"/>
      <c r="H6" s="8" t="s">
        <v>57</v>
      </c>
      <c r="I6" s="7"/>
      <c r="J6" s="8" t="s">
        <v>58</v>
      </c>
      <c r="K6" s="7"/>
      <c r="L6" s="3"/>
      <c r="M6" s="3"/>
      <c r="N6" s="3"/>
    </row>
    <row r="7" spans="1:14" ht="18" thickBot="1">
      <c r="A7" s="21"/>
      <c r="B7" s="20"/>
      <c r="C7" s="3"/>
      <c r="D7" s="10"/>
      <c r="E7" s="3"/>
      <c r="F7" s="5"/>
      <c r="G7" s="3"/>
      <c r="H7" s="3"/>
      <c r="I7" s="3"/>
      <c r="J7" s="3"/>
      <c r="K7" s="3"/>
      <c r="L7" s="3"/>
      <c r="M7" s="3"/>
      <c r="N7" s="3"/>
    </row>
    <row r="8" spans="1:14" ht="18" thickBot="1">
      <c r="C8" s="3"/>
      <c r="D8" s="10"/>
      <c r="E8" s="3"/>
      <c r="F8" s="8" t="s">
        <v>59</v>
      </c>
      <c r="G8" s="86"/>
      <c r="H8" s="87"/>
      <c r="I8" s="87"/>
      <c r="J8" s="87"/>
      <c r="K8" s="87"/>
      <c r="L8" s="3"/>
      <c r="M8" s="3"/>
      <c r="N8" s="3"/>
    </row>
    <row r="9" spans="1:14" ht="18" thickBot="1">
      <c r="C9" s="3"/>
      <c r="D9" s="10"/>
      <c r="E9" s="3"/>
      <c r="F9" s="5"/>
      <c r="G9" s="3"/>
      <c r="H9" s="3"/>
      <c r="I9" s="3"/>
      <c r="J9" s="3"/>
      <c r="K9" s="3"/>
      <c r="L9" s="3"/>
      <c r="M9" s="3"/>
      <c r="N9" s="3"/>
    </row>
    <row r="10" spans="1:14" ht="18" thickBot="1">
      <c r="C10" s="3"/>
      <c r="D10" s="10"/>
      <c r="E10" s="3"/>
      <c r="F10" s="8" t="s">
        <v>60</v>
      </c>
      <c r="G10" s="7"/>
      <c r="H10" s="8" t="s">
        <v>24</v>
      </c>
      <c r="I10" s="7"/>
      <c r="J10" s="8" t="s">
        <v>61</v>
      </c>
      <c r="K10" s="7"/>
      <c r="L10" s="3"/>
      <c r="M10" s="3"/>
      <c r="N10" s="3"/>
    </row>
    <row r="11" spans="1:14" ht="18" thickBot="1">
      <c r="C11" s="3"/>
      <c r="D11" s="10"/>
      <c r="E11" s="3"/>
      <c r="F11" s="5"/>
      <c r="G11" s="3"/>
      <c r="H11" s="3"/>
      <c r="I11" s="3"/>
      <c r="J11" s="3"/>
      <c r="K11" s="3"/>
      <c r="L11" s="3"/>
      <c r="M11" s="3"/>
      <c r="N11" s="3"/>
    </row>
    <row r="12" spans="1:14" ht="18" thickBot="1">
      <c r="C12" s="3"/>
      <c r="D12" s="10"/>
      <c r="E12" s="3"/>
      <c r="F12" s="5"/>
      <c r="G12" s="5"/>
      <c r="H12" s="5"/>
      <c r="I12" s="5"/>
      <c r="J12" s="5"/>
      <c r="K12" s="5"/>
      <c r="L12" s="3"/>
      <c r="M12" s="3"/>
      <c r="N12" s="3"/>
    </row>
    <row r="13" spans="1:14" ht="18" thickBot="1">
      <c r="C13" s="3"/>
      <c r="D13" s="10"/>
      <c r="E13" s="3"/>
      <c r="F13" s="5"/>
      <c r="G13" s="3"/>
      <c r="H13" s="3"/>
      <c r="I13" s="3"/>
      <c r="J13" s="3"/>
      <c r="K13" s="3"/>
      <c r="L13" s="3"/>
      <c r="M13" s="3"/>
      <c r="N13" s="3"/>
    </row>
    <row r="14" spans="1:14" ht="18" thickBot="1">
      <c r="C14" s="3"/>
      <c r="D14" s="10"/>
      <c r="E14" s="3"/>
      <c r="F14" s="5"/>
      <c r="G14" s="3"/>
      <c r="H14" s="3"/>
      <c r="I14" s="3"/>
      <c r="J14" s="3"/>
      <c r="K14" s="3"/>
      <c r="L14" s="3"/>
      <c r="M14" s="3"/>
      <c r="N14" s="3"/>
    </row>
    <row r="15" spans="1:14" ht="18" thickBot="1">
      <c r="C15" s="3"/>
      <c r="D15" s="10"/>
      <c r="E15" s="3"/>
      <c r="F15" s="5"/>
      <c r="G15" s="3"/>
      <c r="H15" s="3"/>
      <c r="I15" s="3"/>
      <c r="J15" s="3"/>
      <c r="K15" s="3"/>
      <c r="L15" s="3"/>
      <c r="M15" s="3"/>
      <c r="N15" s="3"/>
    </row>
    <row r="16" spans="1:14" ht="18" thickBot="1">
      <c r="C16" s="3"/>
      <c r="D16" s="10"/>
      <c r="E16" s="3"/>
      <c r="F16" s="5"/>
      <c r="G16" s="3"/>
      <c r="H16" s="3"/>
      <c r="I16" s="3"/>
      <c r="J16" s="3"/>
      <c r="K16" s="3"/>
      <c r="L16" s="3"/>
      <c r="M16" s="3"/>
      <c r="N16" s="3"/>
    </row>
    <row r="17" spans="3:14" ht="18" thickBot="1">
      <c r="C17" s="3"/>
      <c r="D17" s="10"/>
      <c r="E17" s="3"/>
      <c r="F17" s="5"/>
      <c r="G17" s="3"/>
      <c r="H17" s="3"/>
      <c r="I17" s="3"/>
      <c r="J17" s="3"/>
      <c r="K17" s="3"/>
      <c r="L17" s="3"/>
      <c r="M17" s="3"/>
      <c r="N17" s="3"/>
    </row>
    <row r="18" spans="3:14">
      <c r="C18" s="3"/>
      <c r="D18" s="3"/>
      <c r="E18" s="3"/>
      <c r="F18" s="5"/>
      <c r="G18" s="3"/>
      <c r="H18" s="3"/>
      <c r="I18" s="3"/>
      <c r="J18" s="3"/>
      <c r="K18" s="3"/>
      <c r="L18" s="3"/>
      <c r="M18" s="3"/>
      <c r="N18" s="3"/>
    </row>
    <row r="19" spans="3:14">
      <c r="C19" s="3"/>
      <c r="D19" s="3"/>
      <c r="E19" s="3"/>
      <c r="F19" s="5"/>
      <c r="G19" s="3"/>
      <c r="H19" s="3"/>
      <c r="I19" s="3"/>
      <c r="J19" s="3"/>
      <c r="K19" s="3"/>
      <c r="L19" s="3"/>
      <c r="M19" s="3"/>
      <c r="N19" s="3"/>
    </row>
    <row r="20" spans="3:14">
      <c r="C20" s="3"/>
      <c r="D20" s="3"/>
      <c r="E20" s="3"/>
      <c r="F20" s="5"/>
      <c r="G20" s="3"/>
      <c r="H20" s="3"/>
      <c r="I20" s="3"/>
      <c r="J20" s="3"/>
      <c r="K20" s="3"/>
      <c r="L20" s="3"/>
      <c r="M20" s="3"/>
      <c r="N20" s="3"/>
    </row>
    <row r="21" spans="3:14">
      <c r="C21" s="3"/>
      <c r="D21" s="3"/>
      <c r="E21" s="3"/>
      <c r="F21" s="5"/>
      <c r="G21" s="3"/>
      <c r="H21" s="3"/>
      <c r="I21" s="3"/>
      <c r="J21" s="3"/>
      <c r="K21" s="3"/>
      <c r="L21" s="3"/>
      <c r="M21" s="3"/>
      <c r="N21" s="3"/>
    </row>
    <row r="22" spans="3:14">
      <c r="C22" s="3"/>
      <c r="D22" s="3"/>
      <c r="E22" s="3"/>
      <c r="F22" s="5"/>
      <c r="G22" s="3"/>
      <c r="H22" s="3"/>
      <c r="I22" s="3"/>
      <c r="J22" s="3"/>
      <c r="K22" s="3"/>
      <c r="L22" s="3"/>
      <c r="M22" s="3"/>
      <c r="N22" s="3"/>
    </row>
    <row r="23" spans="3:14">
      <c r="C23" s="3"/>
      <c r="D23" s="3"/>
      <c r="E23" s="3"/>
      <c r="F23" s="5"/>
      <c r="G23" s="3"/>
      <c r="H23" s="3"/>
      <c r="I23" s="3"/>
      <c r="J23" s="3"/>
      <c r="K23" s="3"/>
      <c r="L23" s="3"/>
      <c r="M23" s="3"/>
      <c r="N23" s="3"/>
    </row>
    <row r="24" spans="3:14">
      <c r="C24" s="3"/>
      <c r="D24" s="3"/>
      <c r="E24" s="3"/>
      <c r="F24" s="5"/>
      <c r="G24" s="3"/>
      <c r="H24" s="3"/>
      <c r="I24" s="3"/>
      <c r="J24" s="3"/>
      <c r="K24" s="3"/>
      <c r="L24" s="3"/>
      <c r="M24" s="3"/>
      <c r="N24" s="3"/>
    </row>
    <row r="25" spans="3:14">
      <c r="C25" s="3"/>
      <c r="D25" s="3"/>
      <c r="E25" s="3"/>
      <c r="F25" s="5"/>
      <c r="G25" s="3"/>
      <c r="H25" s="3"/>
      <c r="I25" s="3"/>
      <c r="J25" s="3"/>
      <c r="K25" s="3"/>
      <c r="L25" s="3"/>
      <c r="M25" s="3"/>
      <c r="N25" s="3"/>
    </row>
    <row r="26" spans="3:14">
      <c r="C26" s="3"/>
      <c r="D26" s="3"/>
      <c r="E26" s="3"/>
      <c r="F26" s="5"/>
      <c r="G26" s="3"/>
      <c r="H26" s="3"/>
      <c r="I26" s="3"/>
      <c r="J26" s="3"/>
      <c r="K26" s="3"/>
      <c r="L26" s="3"/>
      <c r="M26" s="3"/>
      <c r="N26" s="3"/>
    </row>
    <row r="27" spans="3:14">
      <c r="C27" s="3"/>
      <c r="D27" s="3"/>
      <c r="E27" s="3"/>
      <c r="F27" s="5"/>
      <c r="G27" s="3"/>
      <c r="H27" s="3"/>
      <c r="I27" s="3"/>
      <c r="J27" s="3"/>
      <c r="K27" s="3"/>
      <c r="L27" s="3"/>
      <c r="M27" s="3"/>
      <c r="N27" s="3"/>
    </row>
    <row r="28" spans="3:14">
      <c r="C28" s="3"/>
      <c r="D28" s="3"/>
      <c r="E28" s="3"/>
      <c r="F28" s="5"/>
      <c r="G28" s="3"/>
      <c r="H28" s="3"/>
      <c r="I28" s="3"/>
      <c r="J28" s="3"/>
      <c r="K28" s="3"/>
      <c r="L28" s="3"/>
      <c r="M28" s="3"/>
      <c r="N28" s="3"/>
    </row>
    <row r="29" spans="3:14">
      <c r="C29" s="3"/>
      <c r="D29" s="3"/>
      <c r="E29" s="3"/>
      <c r="F29" s="5"/>
      <c r="G29" s="3"/>
      <c r="H29" s="3"/>
      <c r="I29" s="3"/>
      <c r="J29" s="3"/>
      <c r="K29" s="3"/>
      <c r="L29" s="3"/>
      <c r="M29" s="3"/>
      <c r="N29" s="3"/>
    </row>
    <row r="30" spans="3:14">
      <c r="C30" s="3"/>
      <c r="D30" s="3"/>
      <c r="E30" s="3"/>
      <c r="F30" s="5"/>
      <c r="G30" s="3"/>
      <c r="H30" s="3"/>
      <c r="I30" s="3"/>
      <c r="J30" s="3"/>
      <c r="K30" s="3"/>
      <c r="L30" s="3"/>
      <c r="M30" s="3"/>
      <c r="N30" s="3"/>
    </row>
    <row r="31" spans="3:14">
      <c r="C31" s="3"/>
      <c r="D31" s="3"/>
      <c r="E31" s="3"/>
      <c r="F31" s="5"/>
      <c r="G31" s="3"/>
      <c r="H31" s="3"/>
      <c r="I31" s="3"/>
      <c r="J31" s="3"/>
      <c r="K31" s="3"/>
      <c r="L31" s="3"/>
      <c r="M31" s="3"/>
      <c r="N31" s="3"/>
    </row>
    <row r="32" spans="3:14">
      <c r="C32" s="3"/>
      <c r="D32" s="3"/>
      <c r="E32" s="3"/>
      <c r="F32" s="5"/>
      <c r="G32" s="3"/>
      <c r="H32" s="3"/>
      <c r="I32" s="3"/>
      <c r="J32" s="3"/>
      <c r="K32" s="3"/>
      <c r="L32" s="3"/>
      <c r="M32" s="3"/>
      <c r="N32" s="3"/>
    </row>
    <row r="33" spans="3:14">
      <c r="C33" s="3"/>
      <c r="D33" s="3"/>
      <c r="E33" s="3"/>
      <c r="F33" s="5"/>
      <c r="G33" s="3"/>
      <c r="H33" s="3"/>
      <c r="I33" s="3"/>
      <c r="J33" s="3"/>
      <c r="K33" s="3"/>
      <c r="L33" s="3"/>
      <c r="M33" s="3"/>
      <c r="N33" s="3"/>
    </row>
    <row r="34" spans="3:14">
      <c r="C34" s="3"/>
      <c r="D34" s="3"/>
      <c r="E34" s="3"/>
      <c r="F34" s="5"/>
      <c r="G34" s="3"/>
      <c r="H34" s="3"/>
      <c r="I34" s="3"/>
      <c r="J34" s="3"/>
      <c r="K34" s="3"/>
      <c r="L34" s="3"/>
      <c r="M34" s="3"/>
      <c r="N34" s="3"/>
    </row>
    <row r="35" spans="3:14">
      <c r="C35" s="3"/>
      <c r="D35" s="3"/>
      <c r="E35" s="3"/>
      <c r="F35" s="5"/>
      <c r="G35" s="3"/>
      <c r="H35" s="3"/>
      <c r="I35" s="3"/>
      <c r="J35" s="3"/>
      <c r="K35" s="3"/>
      <c r="L35" s="3"/>
      <c r="M35" s="3"/>
      <c r="N35" s="3"/>
    </row>
    <row r="36" spans="3:14">
      <c r="C36" s="3"/>
      <c r="D36" s="3"/>
      <c r="E36" s="3"/>
      <c r="F36" s="5"/>
      <c r="G36" s="3"/>
      <c r="H36" s="3"/>
      <c r="I36" s="3"/>
      <c r="J36" s="3"/>
      <c r="K36" s="3"/>
      <c r="L36" s="3"/>
      <c r="M36" s="3"/>
      <c r="N36" s="3"/>
    </row>
    <row r="37" spans="3:14">
      <c r="C37" s="3"/>
      <c r="D37" s="3"/>
      <c r="E37" s="3"/>
      <c r="F37" s="5"/>
      <c r="G37" s="3"/>
      <c r="H37" s="3"/>
      <c r="I37" s="3"/>
      <c r="J37" s="3"/>
      <c r="K37" s="3"/>
      <c r="L37" s="3"/>
      <c r="M37" s="3"/>
      <c r="N37" s="3"/>
    </row>
    <row r="38" spans="3:14">
      <c r="C38" s="3"/>
      <c r="D38" s="3"/>
      <c r="E38" s="3"/>
      <c r="F38" s="5"/>
      <c r="G38" s="3"/>
      <c r="H38" s="3"/>
      <c r="I38" s="3"/>
      <c r="J38" s="3"/>
      <c r="K38" s="3"/>
      <c r="L38" s="3"/>
      <c r="M38" s="3"/>
      <c r="N38" s="3"/>
    </row>
    <row r="39" spans="3:14">
      <c r="C39" s="3"/>
      <c r="D39" s="3"/>
      <c r="E39" s="3"/>
      <c r="F39" s="5"/>
      <c r="G39" s="3"/>
      <c r="H39" s="3"/>
      <c r="I39" s="3"/>
      <c r="J39" s="3"/>
      <c r="K39" s="3"/>
      <c r="L39" s="3"/>
      <c r="M39" s="3"/>
      <c r="N39" s="3"/>
    </row>
    <row r="40" spans="3:14">
      <c r="C40" s="3"/>
      <c r="D40" s="3"/>
      <c r="E40" s="3"/>
      <c r="F40" s="5"/>
      <c r="G40" s="3"/>
      <c r="H40" s="3"/>
      <c r="I40" s="3"/>
      <c r="J40" s="3"/>
      <c r="K40" s="3"/>
      <c r="L40" s="3"/>
      <c r="M40" s="3"/>
      <c r="N40" s="3"/>
    </row>
    <row r="41" spans="3:14">
      <c r="C41" s="3"/>
      <c r="D41" s="3"/>
      <c r="E41" s="3"/>
      <c r="F41" s="5"/>
      <c r="G41" s="3"/>
      <c r="H41" s="3"/>
      <c r="I41" s="3"/>
      <c r="J41" s="3"/>
      <c r="K41" s="3"/>
      <c r="L41" s="3"/>
      <c r="M41" s="3"/>
      <c r="N41" s="3"/>
    </row>
    <row r="42" spans="3:14">
      <c r="C42" s="3"/>
      <c r="D42" s="3"/>
      <c r="E42" s="3"/>
      <c r="F42" s="5"/>
      <c r="G42" s="3"/>
      <c r="H42" s="3"/>
      <c r="I42" s="3"/>
      <c r="J42" s="3"/>
      <c r="K42" s="3"/>
      <c r="L42" s="3"/>
      <c r="M42" s="3"/>
      <c r="N42" s="3"/>
    </row>
    <row r="43" spans="3:14">
      <c r="C43" s="3"/>
      <c r="D43" s="3"/>
      <c r="E43" s="3"/>
      <c r="F43" s="5"/>
      <c r="G43" s="3"/>
      <c r="H43" s="3"/>
      <c r="I43" s="3"/>
      <c r="J43" s="3"/>
      <c r="K43" s="3"/>
      <c r="L43" s="3"/>
      <c r="M43" s="3"/>
      <c r="N43" s="3"/>
    </row>
    <row r="44" spans="3:14">
      <c r="C44" s="3"/>
      <c r="D44" s="3"/>
      <c r="E44" s="3"/>
      <c r="F44" s="5"/>
      <c r="G44" s="3"/>
      <c r="H44" s="3"/>
      <c r="I44" s="3"/>
      <c r="J44" s="3"/>
      <c r="K44" s="3"/>
      <c r="L44" s="3"/>
      <c r="M44" s="3"/>
      <c r="N44" s="3"/>
    </row>
    <row r="45" spans="3:14">
      <c r="C45" s="3"/>
      <c r="D45" s="3"/>
      <c r="E45" s="3"/>
      <c r="F45" s="5"/>
      <c r="G45" s="3"/>
      <c r="H45" s="3"/>
      <c r="I45" s="3"/>
      <c r="J45" s="3"/>
      <c r="K45" s="3"/>
      <c r="L45" s="3"/>
      <c r="M45" s="3"/>
      <c r="N45" s="3"/>
    </row>
    <row r="46" spans="3:14">
      <c r="C46" s="3"/>
      <c r="D46" s="3"/>
      <c r="E46" s="3"/>
      <c r="F46" s="5"/>
      <c r="G46" s="3"/>
      <c r="H46" s="3"/>
      <c r="I46" s="3"/>
      <c r="J46" s="3"/>
      <c r="K46" s="3"/>
      <c r="L46" s="3"/>
      <c r="M46" s="3"/>
      <c r="N46" s="3"/>
    </row>
    <row r="47" spans="3:14">
      <c r="C47" s="3"/>
      <c r="D47" s="3"/>
      <c r="E47" s="3"/>
      <c r="F47" s="5"/>
      <c r="G47" s="3"/>
      <c r="H47" s="3"/>
      <c r="I47" s="3"/>
      <c r="J47" s="3"/>
      <c r="K47" s="3"/>
      <c r="L47" s="3"/>
      <c r="M47" s="3"/>
      <c r="N47" s="3"/>
    </row>
    <row r="48" spans="3:14">
      <c r="C48" s="3"/>
      <c r="D48" s="3"/>
      <c r="E48" s="3"/>
      <c r="F48" s="5"/>
      <c r="G48" s="3"/>
      <c r="H48" s="3"/>
      <c r="I48" s="3"/>
      <c r="J48" s="3"/>
      <c r="K48" s="3"/>
      <c r="L48" s="3"/>
      <c r="M48" s="3"/>
      <c r="N48" s="3"/>
    </row>
    <row r="49" spans="3:14">
      <c r="C49" s="3"/>
      <c r="D49" s="3"/>
      <c r="E49" s="3"/>
      <c r="F49" s="5"/>
      <c r="G49" s="3"/>
      <c r="H49" s="3"/>
      <c r="I49" s="3"/>
      <c r="J49" s="3"/>
      <c r="K49" s="3"/>
      <c r="L49" s="3"/>
      <c r="M49" s="3"/>
      <c r="N49" s="3"/>
    </row>
    <row r="50" spans="3:14">
      <c r="C50" s="3"/>
      <c r="D50" s="3"/>
      <c r="E50" s="3"/>
      <c r="F50" s="5"/>
      <c r="G50" s="3"/>
      <c r="H50" s="3"/>
      <c r="I50" s="3"/>
      <c r="J50" s="3"/>
      <c r="K50" s="3"/>
      <c r="L50" s="3"/>
      <c r="M50" s="3"/>
      <c r="N50" s="3"/>
    </row>
    <row r="51" spans="3:14">
      <c r="C51" s="3"/>
      <c r="D51" s="3"/>
      <c r="E51" s="3"/>
      <c r="F51" s="5"/>
      <c r="G51" s="3"/>
      <c r="H51" s="3"/>
      <c r="I51" s="3"/>
      <c r="J51" s="3"/>
      <c r="K51" s="3"/>
      <c r="L51" s="3"/>
      <c r="M51" s="3"/>
      <c r="N51" s="3"/>
    </row>
    <row r="52" spans="3:14">
      <c r="C52" s="3"/>
      <c r="D52" s="3"/>
      <c r="E52" s="3"/>
      <c r="F52" s="5"/>
      <c r="G52" s="3"/>
      <c r="H52" s="3"/>
      <c r="I52" s="3"/>
      <c r="J52" s="3"/>
      <c r="K52" s="3"/>
      <c r="L52" s="3"/>
      <c r="M52" s="3"/>
      <c r="N52" s="3"/>
    </row>
    <row r="53" spans="3:14">
      <c r="C53" s="3"/>
      <c r="D53" s="3"/>
      <c r="E53" s="3"/>
      <c r="F53" s="5"/>
      <c r="G53" s="3"/>
      <c r="H53" s="3"/>
      <c r="I53" s="3"/>
      <c r="J53" s="3"/>
      <c r="K53" s="3"/>
      <c r="L53" s="3"/>
      <c r="M53" s="3"/>
      <c r="N53" s="3"/>
    </row>
    <row r="54" spans="3:14">
      <c r="C54" s="3"/>
      <c r="D54" s="3"/>
      <c r="E54" s="3"/>
      <c r="F54" s="5"/>
      <c r="G54" s="3"/>
      <c r="H54" s="3"/>
      <c r="I54" s="3"/>
      <c r="J54" s="3"/>
      <c r="K54" s="3"/>
      <c r="L54" s="3"/>
      <c r="M54" s="3"/>
      <c r="N54" s="3"/>
    </row>
    <row r="55" spans="3:14">
      <c r="C55" s="3"/>
      <c r="D55" s="3"/>
      <c r="E55" s="3"/>
      <c r="F55" s="5"/>
      <c r="G55" s="3"/>
      <c r="H55" s="3"/>
      <c r="I55" s="3"/>
      <c r="J55" s="3"/>
      <c r="K55" s="3"/>
      <c r="L55" s="3"/>
      <c r="M55" s="3"/>
      <c r="N55" s="3"/>
    </row>
    <row r="56" spans="3:14">
      <c r="C56" s="3"/>
      <c r="D56" s="3"/>
      <c r="E56" s="3"/>
      <c r="F56" s="5"/>
      <c r="G56" s="3"/>
      <c r="H56" s="3"/>
      <c r="I56" s="3"/>
      <c r="J56" s="3"/>
      <c r="K56" s="3"/>
      <c r="L56" s="3"/>
      <c r="M56" s="3"/>
      <c r="N56" s="3"/>
    </row>
    <row r="57" spans="3:14">
      <c r="C57" s="3"/>
      <c r="D57" s="3"/>
      <c r="E57" s="3"/>
      <c r="F57" s="5"/>
      <c r="G57" s="3"/>
      <c r="H57" s="3"/>
      <c r="I57" s="3"/>
      <c r="J57" s="3"/>
      <c r="K57" s="3"/>
      <c r="L57" s="3"/>
      <c r="M57" s="3"/>
      <c r="N57" s="3"/>
    </row>
    <row r="58" spans="3:14">
      <c r="C58" s="3"/>
      <c r="D58" s="3"/>
      <c r="E58" s="3"/>
      <c r="F58" s="5"/>
      <c r="G58" s="3"/>
      <c r="H58" s="3"/>
      <c r="I58" s="3"/>
      <c r="J58" s="3"/>
      <c r="K58" s="3"/>
      <c r="L58" s="3"/>
      <c r="M58" s="3"/>
      <c r="N58" s="3"/>
    </row>
    <row r="59" spans="3:14">
      <c r="C59" s="3"/>
      <c r="D59" s="3"/>
      <c r="E59" s="3"/>
      <c r="F59" s="5"/>
      <c r="G59" s="3"/>
      <c r="H59" s="3"/>
      <c r="I59" s="3"/>
      <c r="J59" s="3"/>
      <c r="K59" s="3"/>
      <c r="L59" s="3"/>
      <c r="M59" s="3"/>
      <c r="N59" s="3"/>
    </row>
    <row r="60" spans="3:14">
      <c r="C60" s="3"/>
      <c r="D60" s="3"/>
      <c r="E60" s="3"/>
      <c r="F60" s="5"/>
      <c r="G60" s="3"/>
      <c r="H60" s="3"/>
      <c r="I60" s="3"/>
      <c r="J60" s="3"/>
      <c r="K60" s="3"/>
      <c r="L60" s="3"/>
      <c r="M60" s="3"/>
      <c r="N60" s="3"/>
    </row>
    <row r="61" spans="3:14">
      <c r="C61" s="3"/>
      <c r="D61" s="3"/>
      <c r="E61" s="3"/>
      <c r="F61" s="5"/>
      <c r="G61" s="3"/>
      <c r="H61" s="3"/>
      <c r="I61" s="3"/>
      <c r="J61" s="3"/>
      <c r="K61" s="3"/>
      <c r="L61" s="3"/>
      <c r="M61" s="3"/>
      <c r="N61" s="3"/>
    </row>
    <row r="62" spans="3:14">
      <c r="C62" s="3"/>
      <c r="D62" s="3"/>
      <c r="E62" s="3"/>
      <c r="F62" s="5"/>
      <c r="G62" s="3"/>
      <c r="H62" s="3"/>
      <c r="I62" s="3"/>
      <c r="J62" s="3"/>
      <c r="K62" s="3"/>
      <c r="L62" s="3"/>
      <c r="M62" s="3"/>
      <c r="N62" s="3"/>
    </row>
    <row r="63" spans="3:14">
      <c r="C63" s="3"/>
      <c r="D63" s="3"/>
      <c r="E63" s="3"/>
      <c r="F63" s="5"/>
      <c r="G63" s="3"/>
      <c r="H63" s="3"/>
      <c r="I63" s="3"/>
      <c r="J63" s="3"/>
      <c r="K63" s="3"/>
      <c r="L63" s="3"/>
      <c r="M63" s="3"/>
      <c r="N63" s="3"/>
    </row>
    <row r="64" spans="3:14">
      <c r="C64" s="3"/>
      <c r="D64" s="3"/>
      <c r="E64" s="3"/>
      <c r="F64" s="5"/>
      <c r="G64" s="3"/>
      <c r="H64" s="3"/>
      <c r="I64" s="3"/>
      <c r="J64" s="3"/>
      <c r="K64" s="3"/>
      <c r="L64" s="3"/>
      <c r="M64" s="3"/>
      <c r="N64" s="3"/>
    </row>
    <row r="65" spans="3:14">
      <c r="C65" s="3"/>
      <c r="D65" s="3"/>
      <c r="E65" s="3"/>
      <c r="F65" s="5"/>
      <c r="G65" s="3"/>
      <c r="H65" s="3"/>
      <c r="I65" s="3"/>
      <c r="J65" s="3"/>
      <c r="K65" s="3"/>
      <c r="L65" s="3"/>
      <c r="M65" s="3"/>
      <c r="N65" s="3"/>
    </row>
    <row r="66" spans="3:14">
      <c r="C66" s="3"/>
      <c r="D66" s="3"/>
      <c r="E66" s="3"/>
      <c r="F66" s="5"/>
      <c r="G66" s="3"/>
      <c r="H66" s="3"/>
      <c r="I66" s="3"/>
      <c r="J66" s="3"/>
      <c r="K66" s="3"/>
      <c r="L66" s="3"/>
      <c r="M66" s="3"/>
      <c r="N66" s="3"/>
    </row>
    <row r="67" spans="3:14">
      <c r="C67" s="3"/>
      <c r="D67" s="3"/>
      <c r="E67" s="3"/>
      <c r="F67" s="5"/>
      <c r="G67" s="3"/>
      <c r="H67" s="3"/>
      <c r="I67" s="3"/>
      <c r="J67" s="3"/>
      <c r="K67" s="3"/>
      <c r="L67" s="3"/>
      <c r="M67" s="3"/>
      <c r="N67" s="3"/>
    </row>
    <row r="68" spans="3:14">
      <c r="C68" s="3"/>
      <c r="D68" s="3"/>
      <c r="E68" s="3"/>
      <c r="F68" s="5"/>
      <c r="G68" s="3"/>
      <c r="H68" s="3"/>
      <c r="I68" s="3"/>
      <c r="J68" s="3"/>
      <c r="K68" s="3"/>
      <c r="L68" s="3"/>
      <c r="M68" s="3"/>
      <c r="N68" s="3"/>
    </row>
    <row r="69" spans="3:14">
      <c r="C69" s="3"/>
      <c r="D69" s="3"/>
      <c r="E69" s="3"/>
      <c r="F69" s="5"/>
      <c r="G69" s="3"/>
      <c r="H69" s="3"/>
      <c r="I69" s="3"/>
      <c r="J69" s="3"/>
      <c r="K69" s="3"/>
      <c r="L69" s="3"/>
      <c r="M69" s="3"/>
      <c r="N69" s="3"/>
    </row>
    <row r="70" spans="3:14">
      <c r="C70" s="3"/>
      <c r="D70" s="3"/>
      <c r="E70" s="3"/>
      <c r="F70" s="5"/>
      <c r="G70" s="3"/>
      <c r="H70" s="3"/>
      <c r="I70" s="3"/>
      <c r="J70" s="3"/>
      <c r="K70" s="3"/>
      <c r="L70" s="3"/>
      <c r="M70" s="3"/>
      <c r="N70" s="3"/>
    </row>
    <row r="71" spans="3:14">
      <c r="C71" s="3"/>
      <c r="D71" s="3"/>
      <c r="E71" s="3"/>
      <c r="F71" s="5"/>
      <c r="G71" s="3"/>
      <c r="H71" s="3"/>
      <c r="I71" s="3"/>
      <c r="J71" s="3"/>
      <c r="K71" s="3"/>
      <c r="L71" s="3"/>
      <c r="M71" s="3"/>
      <c r="N71" s="3"/>
    </row>
    <row r="72" spans="3:14">
      <c r="C72" s="3"/>
      <c r="D72" s="3"/>
      <c r="E72" s="3"/>
      <c r="F72" s="5"/>
      <c r="G72" s="3"/>
      <c r="H72" s="3"/>
      <c r="I72" s="3"/>
      <c r="J72" s="3"/>
      <c r="K72" s="3"/>
      <c r="L72" s="3"/>
      <c r="M72" s="3"/>
      <c r="N72" s="3"/>
    </row>
    <row r="73" spans="3:14">
      <c r="C73" s="3"/>
      <c r="D73" s="3"/>
      <c r="E73" s="3"/>
      <c r="F73" s="5"/>
      <c r="G73" s="3"/>
      <c r="H73" s="3"/>
      <c r="I73" s="3"/>
      <c r="J73" s="3"/>
      <c r="K73" s="3"/>
      <c r="L73" s="3"/>
      <c r="M73" s="3"/>
      <c r="N73" s="3"/>
    </row>
    <row r="74" spans="3:14">
      <c r="C74" s="3"/>
      <c r="D74" s="3"/>
      <c r="E74" s="3"/>
      <c r="F74" s="5"/>
      <c r="G74" s="3"/>
      <c r="H74" s="3"/>
      <c r="I74" s="3"/>
      <c r="J74" s="3"/>
      <c r="K74" s="3"/>
      <c r="L74" s="3"/>
      <c r="M74" s="3"/>
      <c r="N74" s="3"/>
    </row>
    <row r="75" spans="3:14">
      <c r="C75" s="3"/>
      <c r="D75" s="3"/>
      <c r="E75" s="3"/>
      <c r="F75" s="5"/>
      <c r="G75" s="3"/>
      <c r="H75" s="3"/>
      <c r="I75" s="3"/>
      <c r="J75" s="3"/>
      <c r="K75" s="3"/>
      <c r="L75" s="3"/>
      <c r="M75" s="3"/>
      <c r="N75" s="3"/>
    </row>
    <row r="76" spans="3:14">
      <c r="C76" s="3"/>
      <c r="D76" s="3"/>
      <c r="E76" s="3"/>
      <c r="F76" s="5"/>
      <c r="G76" s="3"/>
      <c r="H76" s="3"/>
      <c r="I76" s="3"/>
      <c r="J76" s="3"/>
      <c r="K76" s="3"/>
      <c r="L76" s="3"/>
      <c r="M76" s="3"/>
      <c r="N76" s="3"/>
    </row>
    <row r="77" spans="3:14">
      <c r="C77" s="3"/>
      <c r="D77" s="3"/>
      <c r="E77" s="3"/>
      <c r="F77" s="5"/>
      <c r="G77" s="3"/>
      <c r="H77" s="3"/>
      <c r="I77" s="3"/>
      <c r="J77" s="3"/>
      <c r="K77" s="3"/>
      <c r="L77" s="3"/>
      <c r="M77" s="3"/>
      <c r="N77" s="3"/>
    </row>
    <row r="78" spans="3:14">
      <c r="C78" s="3"/>
      <c r="D78" s="3"/>
      <c r="E78" s="3"/>
      <c r="F78" s="5"/>
      <c r="G78" s="3"/>
      <c r="H78" s="3"/>
      <c r="I78" s="3"/>
      <c r="J78" s="3"/>
      <c r="K78" s="3"/>
      <c r="L78" s="3"/>
      <c r="M78" s="3"/>
      <c r="N78" s="3"/>
    </row>
    <row r="79" spans="3:14">
      <c r="C79" s="3"/>
      <c r="D79" s="3"/>
      <c r="E79" s="3"/>
      <c r="F79" s="5"/>
      <c r="G79" s="3"/>
      <c r="H79" s="3"/>
      <c r="I79" s="3"/>
      <c r="J79" s="3"/>
      <c r="K79" s="3"/>
      <c r="L79" s="3"/>
      <c r="M79" s="3"/>
      <c r="N79" s="3"/>
    </row>
    <row r="80" spans="3:14">
      <c r="C80" s="3"/>
      <c r="D80" s="3"/>
      <c r="E80" s="3"/>
      <c r="F80" s="5"/>
      <c r="G80" s="3"/>
      <c r="H80" s="3"/>
      <c r="I80" s="3"/>
      <c r="J80" s="3"/>
      <c r="K80" s="3"/>
      <c r="L80" s="3"/>
      <c r="M80" s="3"/>
      <c r="N80" s="3"/>
    </row>
    <row r="81" spans="3:14">
      <c r="C81" s="3"/>
      <c r="D81" s="3"/>
      <c r="E81" s="3"/>
      <c r="F81" s="5"/>
      <c r="G81" s="3"/>
      <c r="H81" s="3"/>
      <c r="I81" s="3"/>
      <c r="J81" s="3"/>
      <c r="K81" s="3"/>
      <c r="L81" s="3"/>
      <c r="M81" s="3"/>
      <c r="N81" s="3"/>
    </row>
    <row r="82" spans="3:14">
      <c r="C82" s="3"/>
      <c r="D82" s="3"/>
      <c r="E82" s="3"/>
      <c r="F82" s="5"/>
      <c r="G82" s="3"/>
      <c r="H82" s="3"/>
      <c r="I82" s="3"/>
      <c r="J82" s="3"/>
      <c r="K82" s="3"/>
      <c r="L82" s="3"/>
      <c r="M82" s="3"/>
      <c r="N82" s="3"/>
    </row>
    <row r="83" spans="3:14">
      <c r="C83" s="3"/>
      <c r="D83" s="3"/>
      <c r="E83" s="3"/>
      <c r="F83" s="5"/>
      <c r="G83" s="3"/>
      <c r="H83" s="3"/>
      <c r="I83" s="3"/>
      <c r="J83" s="3"/>
      <c r="K83" s="3"/>
      <c r="L83" s="3"/>
      <c r="M83" s="3"/>
      <c r="N83" s="3"/>
    </row>
    <row r="84" spans="3:14">
      <c r="C84" s="3"/>
      <c r="D84" s="3"/>
      <c r="E84" s="3"/>
      <c r="F84" s="5"/>
      <c r="G84" s="3"/>
      <c r="H84" s="3"/>
      <c r="I84" s="3"/>
      <c r="J84" s="3"/>
      <c r="K84" s="3"/>
      <c r="L84" s="3"/>
      <c r="M84" s="3"/>
      <c r="N84" s="3"/>
    </row>
    <row r="85" spans="3:14">
      <c r="C85" s="3"/>
      <c r="D85" s="3"/>
      <c r="E85" s="3"/>
      <c r="F85" s="5"/>
      <c r="G85" s="3"/>
      <c r="H85" s="3"/>
      <c r="I85" s="3"/>
      <c r="J85" s="3"/>
      <c r="K85" s="3"/>
      <c r="L85" s="3"/>
      <c r="M85" s="3"/>
      <c r="N85" s="3"/>
    </row>
    <row r="86" spans="3:14">
      <c r="C86" s="3"/>
      <c r="D86" s="3"/>
      <c r="E86" s="3"/>
      <c r="F86" s="5"/>
      <c r="G86" s="3"/>
      <c r="H86" s="3"/>
      <c r="I86" s="3"/>
      <c r="J86" s="3"/>
      <c r="K86" s="3"/>
      <c r="L86" s="3"/>
      <c r="M86" s="3"/>
      <c r="N86" s="3"/>
    </row>
    <row r="87" spans="3:14">
      <c r="C87" s="3"/>
      <c r="D87" s="3"/>
      <c r="E87" s="3"/>
      <c r="F87" s="5"/>
      <c r="G87" s="3"/>
      <c r="H87" s="3"/>
      <c r="I87" s="3"/>
      <c r="J87" s="3"/>
      <c r="K87" s="3"/>
      <c r="L87" s="3"/>
      <c r="M87" s="3"/>
      <c r="N87" s="3"/>
    </row>
    <row r="88" spans="3:14">
      <c r="C88" s="3"/>
      <c r="D88" s="3"/>
      <c r="E88" s="3"/>
      <c r="F88" s="5"/>
      <c r="G88" s="3"/>
      <c r="H88" s="3"/>
      <c r="I88" s="3"/>
      <c r="J88" s="3"/>
      <c r="K88" s="3"/>
      <c r="L88" s="3"/>
      <c r="M88" s="3"/>
      <c r="N88" s="3"/>
    </row>
    <row r="89" spans="3:14">
      <c r="C89" s="3"/>
      <c r="D89" s="3"/>
      <c r="E89" s="3"/>
      <c r="F89" s="5"/>
      <c r="G89" s="3"/>
      <c r="H89" s="3"/>
      <c r="I89" s="3"/>
      <c r="J89" s="3"/>
      <c r="K89" s="3"/>
      <c r="L89" s="3"/>
      <c r="M89" s="3"/>
      <c r="N89" s="3"/>
    </row>
    <row r="90" spans="3:14">
      <c r="C90" s="3"/>
      <c r="D90" s="3"/>
      <c r="E90" s="3"/>
      <c r="F90" s="5"/>
      <c r="G90" s="3"/>
      <c r="H90" s="3"/>
      <c r="I90" s="3"/>
      <c r="J90" s="3"/>
      <c r="K90" s="3"/>
      <c r="L90" s="3"/>
      <c r="M90" s="3"/>
      <c r="N90" s="3"/>
    </row>
    <row r="91" spans="3:14">
      <c r="C91" s="3"/>
      <c r="D91" s="3"/>
      <c r="E91" s="3"/>
      <c r="F91" s="5"/>
      <c r="G91" s="3"/>
      <c r="H91" s="3"/>
      <c r="I91" s="3"/>
      <c r="J91" s="3"/>
      <c r="K91" s="3"/>
      <c r="L91" s="3"/>
      <c r="M91" s="3"/>
      <c r="N91" s="3"/>
    </row>
    <row r="92" spans="3:14">
      <c r="C92" s="3"/>
      <c r="D92" s="3"/>
      <c r="E92" s="3"/>
      <c r="F92" s="5"/>
      <c r="G92" s="3"/>
      <c r="H92" s="3"/>
      <c r="I92" s="3"/>
      <c r="J92" s="3"/>
      <c r="K92" s="3"/>
      <c r="L92" s="3"/>
      <c r="M92" s="3"/>
      <c r="N92" s="3"/>
    </row>
    <row r="93" spans="3:14">
      <c r="C93" s="3"/>
      <c r="D93" s="3"/>
      <c r="E93" s="3"/>
      <c r="F93" s="5"/>
      <c r="G93" s="3"/>
      <c r="H93" s="3"/>
      <c r="I93" s="3"/>
      <c r="J93" s="3"/>
      <c r="K93" s="3"/>
      <c r="L93" s="3"/>
      <c r="M93" s="3"/>
      <c r="N93" s="3"/>
    </row>
    <row r="94" spans="3:14">
      <c r="C94" s="3"/>
      <c r="D94" s="3"/>
      <c r="E94" s="3"/>
      <c r="F94" s="5"/>
      <c r="G94" s="3"/>
      <c r="H94" s="3"/>
      <c r="I94" s="3"/>
      <c r="J94" s="3"/>
      <c r="K94" s="3"/>
      <c r="L94" s="3"/>
      <c r="M94" s="3"/>
      <c r="N94" s="3"/>
    </row>
    <row r="95" spans="3:14">
      <c r="C95" s="3"/>
      <c r="D95" s="3"/>
      <c r="E95" s="3"/>
      <c r="F95" s="5"/>
      <c r="G95" s="3"/>
      <c r="H95" s="3"/>
      <c r="I95" s="3"/>
      <c r="J95" s="3"/>
      <c r="K95" s="3"/>
      <c r="L95" s="3"/>
      <c r="M95" s="3"/>
      <c r="N95" s="3"/>
    </row>
    <row r="96" spans="3:14">
      <c r="C96" s="3"/>
      <c r="D96" s="3"/>
      <c r="E96" s="3"/>
      <c r="F96" s="5"/>
      <c r="G96" s="3"/>
      <c r="H96" s="3"/>
      <c r="I96" s="3"/>
      <c r="J96" s="3"/>
      <c r="K96" s="3"/>
      <c r="L96" s="3"/>
      <c r="M96" s="3"/>
      <c r="N96" s="3"/>
    </row>
    <row r="97" spans="3:14">
      <c r="C97" s="3"/>
      <c r="D97" s="3"/>
      <c r="E97" s="3"/>
      <c r="F97" s="5"/>
      <c r="G97" s="3"/>
      <c r="H97" s="3"/>
      <c r="I97" s="3"/>
      <c r="J97" s="3"/>
      <c r="K97" s="3"/>
      <c r="L97" s="3"/>
      <c r="M97" s="3"/>
      <c r="N97" s="3"/>
    </row>
    <row r="98" spans="3:14">
      <c r="C98" s="3"/>
      <c r="D98" s="3"/>
      <c r="E98" s="3"/>
      <c r="F98" s="5"/>
      <c r="G98" s="3"/>
      <c r="H98" s="3"/>
      <c r="I98" s="3"/>
      <c r="J98" s="3"/>
      <c r="K98" s="3"/>
      <c r="L98" s="3"/>
      <c r="M98" s="3"/>
      <c r="N98" s="3"/>
    </row>
    <row r="99" spans="3:14">
      <c r="C99" s="3"/>
      <c r="D99" s="3"/>
      <c r="E99" s="3"/>
      <c r="F99" s="5"/>
      <c r="G99" s="3"/>
      <c r="H99" s="3"/>
      <c r="I99" s="3"/>
      <c r="J99" s="3"/>
      <c r="K99" s="3"/>
      <c r="L99" s="3"/>
      <c r="M99" s="3"/>
      <c r="N99" s="3"/>
    </row>
    <row r="100" spans="3:14">
      <c r="C100" s="3"/>
      <c r="D100" s="3"/>
      <c r="E100" s="3"/>
      <c r="F100" s="5"/>
      <c r="G100" s="3"/>
      <c r="H100" s="3"/>
      <c r="I100" s="3"/>
      <c r="J100" s="3"/>
      <c r="K100" s="3"/>
      <c r="L100" s="3"/>
      <c r="M100" s="3"/>
      <c r="N100" s="3"/>
    </row>
    <row r="101" spans="3:14">
      <c r="C101" s="3"/>
      <c r="D101" s="3"/>
      <c r="E101" s="3"/>
      <c r="F101" s="5"/>
      <c r="G101" s="3"/>
      <c r="H101" s="3"/>
      <c r="I101" s="3"/>
      <c r="J101" s="3"/>
      <c r="K101" s="3"/>
      <c r="L101" s="3"/>
      <c r="M101" s="3"/>
      <c r="N101" s="3"/>
    </row>
    <row r="102" spans="3:14">
      <c r="C102" s="3"/>
      <c r="D102" s="3"/>
      <c r="E102" s="3"/>
      <c r="F102" s="5"/>
      <c r="G102" s="3"/>
      <c r="H102" s="3"/>
      <c r="I102" s="3"/>
      <c r="J102" s="3"/>
      <c r="K102" s="3"/>
      <c r="L102" s="3"/>
      <c r="M102" s="3"/>
      <c r="N102" s="3"/>
    </row>
    <row r="103" spans="3:14">
      <c r="C103" s="3"/>
      <c r="D103" s="3"/>
      <c r="E103" s="3"/>
      <c r="F103" s="5"/>
      <c r="G103" s="3"/>
      <c r="H103" s="3"/>
      <c r="I103" s="3"/>
      <c r="J103" s="3"/>
      <c r="K103" s="3"/>
      <c r="L103" s="3"/>
      <c r="M103" s="3"/>
      <c r="N103" s="3"/>
    </row>
    <row r="104" spans="3:14">
      <c r="C104" s="3"/>
      <c r="D104" s="3"/>
      <c r="E104" s="3"/>
      <c r="F104" s="5"/>
      <c r="G104" s="3"/>
      <c r="H104" s="3"/>
      <c r="I104" s="3"/>
      <c r="J104" s="3"/>
      <c r="K104" s="3"/>
      <c r="L104" s="3"/>
      <c r="M104" s="3"/>
      <c r="N104" s="3"/>
    </row>
    <row r="105" spans="3:14">
      <c r="C105" s="3"/>
      <c r="D105" s="3"/>
      <c r="E105" s="3"/>
      <c r="F105" s="5"/>
      <c r="G105" s="3"/>
      <c r="H105" s="3"/>
      <c r="I105" s="3"/>
      <c r="J105" s="3"/>
      <c r="K105" s="3"/>
      <c r="L105" s="3"/>
      <c r="M105" s="3"/>
      <c r="N105" s="3"/>
    </row>
    <row r="106" spans="3:14">
      <c r="C106" s="3"/>
      <c r="D106" s="3"/>
      <c r="E106" s="3"/>
      <c r="F106" s="5"/>
      <c r="G106" s="3"/>
      <c r="H106" s="3"/>
      <c r="I106" s="3"/>
      <c r="J106" s="3"/>
      <c r="K106" s="3"/>
      <c r="L106" s="3"/>
      <c r="M106" s="3"/>
      <c r="N106" s="3"/>
    </row>
    <row r="107" spans="3:14">
      <c r="C107" s="3"/>
      <c r="D107" s="3"/>
      <c r="E107" s="3"/>
      <c r="F107" s="5"/>
      <c r="G107" s="3"/>
      <c r="H107" s="3"/>
      <c r="I107" s="3"/>
      <c r="J107" s="3"/>
      <c r="K107" s="3"/>
      <c r="L107" s="3"/>
      <c r="M107" s="3"/>
      <c r="N107" s="3"/>
    </row>
    <row r="108" spans="3:14">
      <c r="C108" s="3"/>
      <c r="D108" s="3"/>
      <c r="E108" s="3"/>
      <c r="F108" s="5"/>
      <c r="G108" s="3"/>
      <c r="H108" s="3"/>
      <c r="I108" s="3"/>
      <c r="J108" s="3"/>
      <c r="K108" s="3"/>
      <c r="L108" s="3"/>
      <c r="M108" s="3"/>
      <c r="N108" s="3"/>
    </row>
    <row r="109" spans="3:14">
      <c r="C109" s="3"/>
      <c r="D109" s="3"/>
      <c r="E109" s="3"/>
      <c r="F109" s="5"/>
      <c r="G109" s="3"/>
      <c r="H109" s="3"/>
      <c r="I109" s="3"/>
      <c r="J109" s="3"/>
      <c r="K109" s="3"/>
      <c r="L109" s="3"/>
      <c r="M109" s="3"/>
      <c r="N109" s="3"/>
    </row>
    <row r="110" spans="3:14">
      <c r="C110" s="3"/>
      <c r="D110" s="3"/>
      <c r="E110" s="3"/>
      <c r="F110" s="5"/>
      <c r="G110" s="3"/>
      <c r="H110" s="3"/>
      <c r="I110" s="3"/>
      <c r="J110" s="3"/>
      <c r="K110" s="3"/>
      <c r="L110" s="3"/>
      <c r="M110" s="3"/>
      <c r="N110" s="3"/>
    </row>
    <row r="111" spans="3:14">
      <c r="C111" s="3"/>
      <c r="D111" s="3"/>
      <c r="E111" s="3"/>
      <c r="F111" s="5"/>
      <c r="G111" s="3"/>
      <c r="H111" s="3"/>
      <c r="I111" s="3"/>
      <c r="J111" s="3"/>
      <c r="K111" s="3"/>
      <c r="L111" s="3"/>
      <c r="M111" s="3"/>
      <c r="N111" s="3"/>
    </row>
    <row r="112" spans="3:14">
      <c r="C112" s="3"/>
      <c r="D112" s="3"/>
      <c r="E112" s="3"/>
      <c r="F112" s="5"/>
      <c r="G112" s="3"/>
      <c r="H112" s="3"/>
      <c r="I112" s="3"/>
      <c r="J112" s="3"/>
      <c r="K112" s="3"/>
      <c r="L112" s="3"/>
      <c r="M112" s="3"/>
      <c r="N112" s="3"/>
    </row>
    <row r="113" spans="3:14">
      <c r="C113" s="3"/>
      <c r="D113" s="3"/>
      <c r="E113" s="3"/>
      <c r="F113" s="5"/>
      <c r="G113" s="3"/>
      <c r="H113" s="3"/>
      <c r="I113" s="3"/>
      <c r="J113" s="3"/>
      <c r="K113" s="3"/>
      <c r="L113" s="3"/>
      <c r="M113" s="3"/>
      <c r="N113" s="3"/>
    </row>
    <row r="114" spans="3:14">
      <c r="C114" s="3"/>
      <c r="D114" s="3"/>
      <c r="E114" s="3"/>
      <c r="F114" s="5"/>
      <c r="G114" s="3"/>
      <c r="H114" s="3"/>
      <c r="I114" s="3"/>
      <c r="J114" s="3"/>
      <c r="K114" s="3"/>
      <c r="L114" s="3"/>
      <c r="M114" s="3"/>
      <c r="N114" s="3"/>
    </row>
    <row r="115" spans="3:14">
      <c r="C115" s="3"/>
      <c r="D115" s="3"/>
      <c r="E115" s="3"/>
      <c r="F115" s="5"/>
      <c r="G115" s="3"/>
      <c r="H115" s="3"/>
      <c r="I115" s="3"/>
      <c r="J115" s="3"/>
      <c r="K115" s="3"/>
      <c r="L115" s="3"/>
      <c r="M115" s="3"/>
      <c r="N115" s="3"/>
    </row>
    <row r="116" spans="3:14">
      <c r="C116" s="3"/>
      <c r="D116" s="3"/>
      <c r="E116" s="3"/>
      <c r="F116" s="5"/>
      <c r="G116" s="3"/>
      <c r="H116" s="3"/>
      <c r="I116" s="3"/>
      <c r="J116" s="3"/>
      <c r="K116" s="3"/>
      <c r="L116" s="3"/>
      <c r="M116" s="3"/>
      <c r="N116" s="3"/>
    </row>
    <row r="117" spans="3:14">
      <c r="C117" s="3"/>
      <c r="D117" s="3"/>
      <c r="E117" s="3"/>
      <c r="F117" s="5"/>
      <c r="G117" s="3"/>
      <c r="H117" s="3"/>
      <c r="I117" s="3"/>
      <c r="J117" s="3"/>
      <c r="K117" s="3"/>
      <c r="L117" s="3"/>
      <c r="M117" s="3"/>
      <c r="N117" s="3"/>
    </row>
    <row r="118" spans="3:14">
      <c r="C118" s="3"/>
      <c r="D118" s="3"/>
      <c r="E118" s="3"/>
      <c r="F118" s="5"/>
      <c r="G118" s="3"/>
      <c r="H118" s="3"/>
      <c r="I118" s="3"/>
      <c r="J118" s="3"/>
      <c r="K118" s="3"/>
      <c r="L118" s="3"/>
      <c r="M118" s="3"/>
      <c r="N118" s="3"/>
    </row>
    <row r="119" spans="3:14">
      <c r="C119" s="3"/>
      <c r="D119" s="3"/>
      <c r="E119" s="3"/>
      <c r="F119" s="5"/>
      <c r="G119" s="3"/>
      <c r="H119" s="3"/>
      <c r="I119" s="3"/>
      <c r="J119" s="3"/>
      <c r="K119" s="3"/>
      <c r="L119" s="3"/>
      <c r="M119" s="3"/>
      <c r="N119" s="3"/>
    </row>
    <row r="120" spans="3:14">
      <c r="C120" s="3"/>
      <c r="D120" s="3"/>
      <c r="E120" s="3"/>
      <c r="F120" s="5"/>
      <c r="G120" s="3"/>
      <c r="H120" s="3"/>
      <c r="I120" s="3"/>
      <c r="J120" s="3"/>
      <c r="K120" s="3"/>
      <c r="L120" s="3"/>
      <c r="M120" s="3"/>
      <c r="N120" s="3"/>
    </row>
    <row r="121" spans="3:14">
      <c r="C121" s="3"/>
      <c r="D121" s="3"/>
      <c r="E121" s="3"/>
      <c r="F121" s="5"/>
      <c r="G121" s="3"/>
      <c r="H121" s="3"/>
      <c r="I121" s="3"/>
      <c r="J121" s="3"/>
      <c r="K121" s="3"/>
      <c r="L121" s="3"/>
      <c r="M121" s="3"/>
      <c r="N121" s="3"/>
    </row>
    <row r="122" spans="3:14">
      <c r="C122" s="3"/>
      <c r="D122" s="3"/>
      <c r="E122" s="3"/>
      <c r="F122" s="5"/>
      <c r="G122" s="3"/>
      <c r="H122" s="3"/>
      <c r="I122" s="3"/>
      <c r="J122" s="3"/>
      <c r="K122" s="3"/>
      <c r="L122" s="3"/>
      <c r="M122" s="3"/>
      <c r="N122" s="3"/>
    </row>
    <row r="123" spans="3:14">
      <c r="C123" s="3"/>
      <c r="D123" s="3"/>
      <c r="E123" s="3"/>
      <c r="F123" s="5"/>
      <c r="G123" s="3"/>
      <c r="H123" s="3"/>
      <c r="I123" s="3"/>
      <c r="J123" s="3"/>
      <c r="K123" s="3"/>
      <c r="L123" s="3"/>
      <c r="M123" s="3"/>
      <c r="N123" s="3"/>
    </row>
    <row r="124" spans="3:14">
      <c r="C124" s="3"/>
      <c r="D124" s="3"/>
      <c r="E124" s="3"/>
      <c r="F124" s="5"/>
      <c r="G124" s="3"/>
      <c r="H124" s="3"/>
      <c r="I124" s="3"/>
      <c r="J124" s="3"/>
      <c r="K124" s="3"/>
      <c r="L124" s="3"/>
      <c r="M124" s="3"/>
      <c r="N124" s="3"/>
    </row>
    <row r="125" spans="3:14">
      <c r="C125" s="3"/>
      <c r="D125" s="3"/>
      <c r="E125" s="3"/>
      <c r="F125" s="5"/>
      <c r="G125" s="3"/>
      <c r="H125" s="3"/>
      <c r="I125" s="3"/>
      <c r="J125" s="3"/>
      <c r="K125" s="3"/>
      <c r="L125" s="3"/>
      <c r="M125" s="3"/>
      <c r="N125" s="3"/>
    </row>
    <row r="126" spans="3:14">
      <c r="C126" s="3"/>
      <c r="D126" s="3"/>
      <c r="E126" s="3"/>
      <c r="F126" s="5"/>
      <c r="G126" s="3"/>
      <c r="H126" s="3"/>
      <c r="I126" s="3"/>
      <c r="J126" s="3"/>
      <c r="K126" s="3"/>
      <c r="L126" s="3"/>
      <c r="M126" s="3"/>
      <c r="N126" s="3"/>
    </row>
    <row r="127" spans="3:14">
      <c r="C127" s="3"/>
      <c r="D127" s="3"/>
      <c r="E127" s="3"/>
      <c r="F127" s="5"/>
      <c r="G127" s="3"/>
      <c r="H127" s="3"/>
      <c r="I127" s="3"/>
      <c r="J127" s="3"/>
      <c r="K127" s="3"/>
      <c r="L127" s="3"/>
      <c r="M127" s="3"/>
      <c r="N127" s="3"/>
    </row>
    <row r="128" spans="3:14">
      <c r="C128" s="3"/>
      <c r="D128" s="3"/>
      <c r="E128" s="3"/>
      <c r="F128" s="5"/>
      <c r="G128" s="3"/>
      <c r="H128" s="3"/>
      <c r="I128" s="3"/>
      <c r="J128" s="3"/>
      <c r="K128" s="3"/>
      <c r="L128" s="3"/>
      <c r="M128" s="3"/>
      <c r="N128" s="3"/>
    </row>
    <row r="129" spans="3:14">
      <c r="C129" s="3"/>
      <c r="D129" s="3"/>
      <c r="E129" s="3"/>
      <c r="F129" s="5"/>
      <c r="G129" s="3"/>
      <c r="H129" s="3"/>
      <c r="I129" s="3"/>
      <c r="J129" s="3"/>
      <c r="K129" s="3"/>
      <c r="L129" s="3"/>
      <c r="M129" s="3"/>
      <c r="N129" s="3"/>
    </row>
    <row r="130" spans="3:14">
      <c r="C130" s="3"/>
      <c r="D130" s="3"/>
      <c r="E130" s="3"/>
      <c r="F130" s="5"/>
      <c r="G130" s="3"/>
      <c r="H130" s="3"/>
      <c r="I130" s="3"/>
      <c r="J130" s="3"/>
      <c r="K130" s="3"/>
      <c r="L130" s="3"/>
      <c r="M130" s="3"/>
      <c r="N130" s="3"/>
    </row>
    <row r="131" spans="3:14">
      <c r="C131" s="3"/>
      <c r="D131" s="3"/>
      <c r="E131" s="3"/>
      <c r="F131" s="5"/>
      <c r="G131" s="3"/>
      <c r="H131" s="3"/>
      <c r="I131" s="3"/>
      <c r="J131" s="3"/>
      <c r="K131" s="3"/>
      <c r="L131" s="3"/>
      <c r="M131" s="3"/>
      <c r="N131" s="3"/>
    </row>
    <row r="132" spans="3:14">
      <c r="C132" s="3"/>
      <c r="D132" s="3"/>
      <c r="E132" s="3"/>
      <c r="F132" s="5"/>
      <c r="G132" s="3"/>
      <c r="H132" s="3"/>
      <c r="I132" s="3"/>
      <c r="J132" s="3"/>
      <c r="K132" s="3"/>
      <c r="L132" s="3"/>
      <c r="M132" s="3"/>
      <c r="N132" s="3"/>
    </row>
    <row r="133" spans="3:14">
      <c r="C133" s="3"/>
      <c r="D133" s="3"/>
      <c r="E133" s="3"/>
      <c r="F133" s="5"/>
      <c r="G133" s="3"/>
      <c r="H133" s="3"/>
      <c r="I133" s="3"/>
      <c r="J133" s="3"/>
      <c r="K133" s="3"/>
      <c r="L133" s="3"/>
      <c r="M133" s="3"/>
      <c r="N133" s="3"/>
    </row>
    <row r="134" spans="3:14">
      <c r="C134" s="3"/>
      <c r="D134" s="3"/>
      <c r="E134" s="3"/>
      <c r="F134" s="5"/>
      <c r="G134" s="3"/>
      <c r="H134" s="3"/>
      <c r="I134" s="3"/>
      <c r="J134" s="3"/>
      <c r="K134" s="3"/>
      <c r="L134" s="3"/>
      <c r="M134" s="3"/>
      <c r="N134" s="3"/>
    </row>
    <row r="135" spans="3:14">
      <c r="C135" s="3"/>
      <c r="D135" s="3"/>
      <c r="E135" s="3"/>
      <c r="F135" s="5"/>
      <c r="G135" s="3"/>
      <c r="H135" s="3"/>
      <c r="I135" s="3"/>
      <c r="J135" s="3"/>
      <c r="K135" s="3"/>
      <c r="L135" s="3"/>
      <c r="M135" s="3"/>
      <c r="N135" s="3"/>
    </row>
    <row r="136" spans="3:14">
      <c r="C136" s="3"/>
      <c r="D136" s="3"/>
      <c r="E136" s="3"/>
      <c r="F136" s="5"/>
      <c r="G136" s="3"/>
      <c r="H136" s="3"/>
      <c r="I136" s="3"/>
      <c r="J136" s="3"/>
      <c r="K136" s="3"/>
      <c r="L136" s="3"/>
      <c r="M136" s="3"/>
      <c r="N136" s="3"/>
    </row>
    <row r="137" spans="3:14">
      <c r="C137" s="3"/>
      <c r="D137" s="3"/>
      <c r="E137" s="3"/>
      <c r="F137" s="5"/>
      <c r="G137" s="3"/>
      <c r="H137" s="3"/>
      <c r="I137" s="3"/>
      <c r="J137" s="3"/>
      <c r="K137" s="3"/>
      <c r="L137" s="3"/>
      <c r="M137" s="3"/>
      <c r="N137" s="3"/>
    </row>
    <row r="138" spans="3:14">
      <c r="C138" s="3"/>
      <c r="D138" s="3"/>
      <c r="E138" s="3"/>
      <c r="F138" s="5"/>
      <c r="G138" s="3"/>
      <c r="H138" s="3"/>
      <c r="I138" s="3"/>
      <c r="J138" s="3"/>
      <c r="K138" s="3"/>
      <c r="L138" s="3"/>
      <c r="M138" s="3"/>
      <c r="N138" s="3"/>
    </row>
    <row r="139" spans="3:14">
      <c r="C139" s="3"/>
      <c r="D139" s="3"/>
      <c r="E139" s="3"/>
      <c r="F139" s="5"/>
      <c r="G139" s="3"/>
      <c r="H139" s="3"/>
      <c r="I139" s="3"/>
      <c r="J139" s="3"/>
      <c r="K139" s="3"/>
      <c r="L139" s="3"/>
      <c r="M139" s="3"/>
      <c r="N139" s="3"/>
    </row>
    <row r="140" spans="3:14">
      <c r="C140" s="3"/>
      <c r="D140" s="3"/>
      <c r="E140" s="3"/>
      <c r="F140" s="5"/>
      <c r="G140" s="3"/>
      <c r="H140" s="3"/>
      <c r="I140" s="3"/>
      <c r="J140" s="3"/>
      <c r="K140" s="3"/>
      <c r="L140" s="3"/>
      <c r="M140" s="3"/>
      <c r="N140" s="3"/>
    </row>
    <row r="141" spans="3:14">
      <c r="C141" s="3"/>
      <c r="D141" s="3"/>
      <c r="E141" s="3"/>
      <c r="F141" s="5"/>
      <c r="G141" s="3"/>
      <c r="H141" s="3"/>
      <c r="I141" s="3"/>
      <c r="J141" s="3"/>
      <c r="K141" s="3"/>
      <c r="L141" s="3"/>
      <c r="M141" s="3"/>
      <c r="N141" s="3"/>
    </row>
    <row r="142" spans="3:14">
      <c r="C142" s="3"/>
      <c r="D142" s="3"/>
      <c r="E142" s="3"/>
      <c r="F142" s="5"/>
      <c r="G142" s="3"/>
      <c r="H142" s="3"/>
      <c r="I142" s="3"/>
      <c r="J142" s="3"/>
      <c r="K142" s="3"/>
      <c r="L142" s="3"/>
      <c r="M142" s="3"/>
      <c r="N142" s="3"/>
    </row>
  </sheetData>
  <mergeCells count="2">
    <mergeCell ref="D1:N1"/>
    <mergeCell ref="G8:K8"/>
  </mergeCells>
  <dataValidations count="2">
    <dataValidation type="list" allowBlank="1" showInputMessage="1" showErrorMessage="1" sqref="I10" xr:uid="{C323DF26-910C-4918-B9B7-BB034FECC5B9}">
      <formula1>"Income,Expence"</formula1>
    </dataValidation>
    <dataValidation type="list" allowBlank="1" showInputMessage="1" showErrorMessage="1" sqref="G4" xr:uid="{BA674AA3-2D99-4DA1-A399-1AD89DB0A31A}">
      <formula1>Property_Name</formula1>
    </dataValidation>
  </dataValidation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C3F5FE-FE51-466C-BEAE-D4621C844999}">
  <sheetPr codeName="AlertsReminders"/>
  <dimension ref="A1:N142"/>
  <sheetViews>
    <sheetView showGridLines="0" showRowColHeaders="0" workbookViewId="0">
      <selection activeCell="O20" sqref="O20"/>
    </sheetView>
  </sheetViews>
  <sheetFormatPr defaultColWidth="9" defaultRowHeight="17.25"/>
  <cols>
    <col min="1" max="1" width="16.75" style="17" customWidth="1"/>
    <col min="2" max="2" width="2.375" style="17" customWidth="1"/>
    <col min="3" max="3" width="3.75" style="1" customWidth="1"/>
    <col min="4" max="4" width="13.375" style="1" customWidth="1"/>
    <col min="5" max="5" width="1.25" style="1" customWidth="1"/>
    <col min="6" max="6" width="13.5" style="6" customWidth="1"/>
    <col min="7" max="7" width="16.875" style="1" customWidth="1"/>
    <col min="8" max="10" width="9" style="1"/>
    <col min="11" max="11" width="16.125" style="1" customWidth="1"/>
    <col min="12" max="12" width="3.625" style="1" customWidth="1"/>
    <col min="13" max="13" width="12" style="1" customWidth="1"/>
    <col min="14" max="16384" width="9" style="1"/>
  </cols>
  <sheetData>
    <row r="1" spans="1:14" ht="32.25" customHeight="1">
      <c r="C1" s="11"/>
      <c r="D1" s="80" t="s">
        <v>62</v>
      </c>
      <c r="E1" s="80"/>
      <c r="F1" s="80"/>
      <c r="G1" s="80"/>
      <c r="H1" s="80"/>
      <c r="I1" s="80"/>
      <c r="J1" s="80"/>
      <c r="K1" s="80"/>
      <c r="L1" s="80"/>
      <c r="M1" s="80"/>
      <c r="N1" s="80"/>
    </row>
    <row r="2" spans="1:14" ht="10.5" customHeight="1">
      <c r="C2" s="2"/>
      <c r="D2" s="2"/>
      <c r="E2" s="2"/>
      <c r="F2" s="4"/>
      <c r="G2" s="2"/>
      <c r="H2" s="2"/>
      <c r="I2" s="2"/>
      <c r="J2" s="2"/>
      <c r="K2" s="2"/>
      <c r="L2" s="2"/>
      <c r="M2" s="2"/>
      <c r="N2" s="2"/>
    </row>
    <row r="3" spans="1:14" ht="18" thickBot="1">
      <c r="C3" s="3"/>
      <c r="D3" s="3"/>
      <c r="E3" s="3"/>
      <c r="F3" s="5"/>
      <c r="G3" s="5"/>
      <c r="H3" s="3"/>
      <c r="I3" s="3"/>
      <c r="J3" s="3"/>
      <c r="K3" s="3"/>
      <c r="L3" s="3"/>
      <c r="M3" s="3"/>
      <c r="N3" s="3"/>
    </row>
    <row r="4" spans="1:14" ht="18" thickBot="1">
      <c r="A4" s="21"/>
      <c r="B4" s="20"/>
      <c r="C4" s="3"/>
      <c r="D4" s="3" t="s">
        <v>63</v>
      </c>
      <c r="E4" s="3"/>
      <c r="F4" s="5"/>
      <c r="G4" s="5"/>
      <c r="H4" s="3"/>
      <c r="I4" s="9" t="s">
        <v>64</v>
      </c>
      <c r="J4" s="7"/>
      <c r="K4" s="3"/>
      <c r="L4" s="3"/>
      <c r="M4" s="3"/>
      <c r="N4" s="3"/>
    </row>
    <row r="5" spans="1:14" ht="18" thickBot="1">
      <c r="A5" s="21" t="s">
        <v>65</v>
      </c>
      <c r="B5" s="20" t="str">
        <f ca="1">IFERROR(MATCH(J4,Alert_ID,0)+3,"")</f>
        <v/>
      </c>
      <c r="C5" s="3"/>
      <c r="D5" s="10"/>
      <c r="E5" s="3"/>
      <c r="F5" s="5"/>
      <c r="G5" s="3"/>
      <c r="H5" s="3"/>
      <c r="I5" s="3"/>
      <c r="J5" s="3"/>
      <c r="K5" s="3"/>
      <c r="L5" s="3"/>
      <c r="M5" s="3"/>
      <c r="N5" s="3"/>
    </row>
    <row r="6" spans="1:14" ht="18" thickBot="1">
      <c r="A6" s="21" t="s">
        <v>55</v>
      </c>
      <c r="B6" s="20">
        <f ca="1">IFERROR(MAX(Alert_ID)+1,1)</f>
        <v>1</v>
      </c>
      <c r="C6" s="3"/>
      <c r="D6" s="10"/>
      <c r="E6" s="3"/>
      <c r="F6" s="8" t="s">
        <v>66</v>
      </c>
      <c r="G6" s="7"/>
      <c r="H6" s="8" t="s">
        <v>58</v>
      </c>
      <c r="I6" s="7"/>
      <c r="J6" s="8" t="s">
        <v>67</v>
      </c>
      <c r="K6" s="7"/>
      <c r="L6" s="3"/>
      <c r="M6" s="3"/>
      <c r="N6" s="3"/>
    </row>
    <row r="7" spans="1:14" ht="18" thickBot="1">
      <c r="A7" s="21"/>
      <c r="B7" s="20"/>
      <c r="C7" s="3"/>
      <c r="D7" s="10"/>
      <c r="E7" s="3"/>
      <c r="F7" s="5"/>
      <c r="G7" s="3"/>
      <c r="H7" s="3"/>
      <c r="I7" s="3"/>
      <c r="J7" s="3"/>
      <c r="K7" s="3"/>
      <c r="L7" s="3"/>
      <c r="M7" s="3"/>
      <c r="N7" s="3"/>
    </row>
    <row r="8" spans="1:14" ht="18" thickBot="1">
      <c r="C8" s="3"/>
      <c r="D8" s="10"/>
      <c r="E8" s="3"/>
      <c r="F8" s="8" t="s">
        <v>68</v>
      </c>
      <c r="G8" s="86"/>
      <c r="H8" s="87"/>
      <c r="I8" s="87"/>
      <c r="J8" s="87"/>
      <c r="K8" s="87"/>
      <c r="L8" s="3"/>
      <c r="M8" s="3"/>
      <c r="N8" s="3"/>
    </row>
    <row r="9" spans="1:14" ht="18" thickBot="1">
      <c r="C9" s="3"/>
      <c r="D9" s="10"/>
      <c r="E9" s="3"/>
      <c r="F9" s="5"/>
      <c r="G9" s="3"/>
      <c r="H9" s="3"/>
      <c r="I9" s="3"/>
      <c r="J9" s="3"/>
      <c r="K9" s="3"/>
      <c r="L9" s="3"/>
      <c r="M9" s="3"/>
      <c r="N9" s="3"/>
    </row>
    <row r="10" spans="1:14" ht="18" thickBot="1">
      <c r="C10" s="3"/>
      <c r="D10" s="10"/>
      <c r="E10" s="3"/>
      <c r="F10" s="5"/>
      <c r="G10" s="3"/>
      <c r="H10" s="3"/>
      <c r="I10" s="3"/>
      <c r="J10" s="3"/>
      <c r="K10" s="3"/>
      <c r="L10" s="3"/>
      <c r="M10" s="3"/>
      <c r="N10" s="3"/>
    </row>
    <row r="11" spans="1:14" ht="18" thickBot="1">
      <c r="C11" s="3"/>
      <c r="D11" s="10"/>
      <c r="E11" s="3"/>
      <c r="F11" s="5"/>
      <c r="G11" s="3"/>
      <c r="H11" s="3"/>
      <c r="I11" s="3"/>
      <c r="J11" s="3"/>
      <c r="K11" s="3"/>
      <c r="L11" s="3"/>
      <c r="M11" s="3"/>
      <c r="N11" s="3"/>
    </row>
    <row r="12" spans="1:14" ht="18" thickBot="1">
      <c r="C12" s="3"/>
      <c r="D12" s="10"/>
      <c r="E12" s="3"/>
      <c r="F12" s="5"/>
      <c r="G12" s="5"/>
      <c r="H12" s="5"/>
      <c r="I12" s="5"/>
      <c r="J12" s="5"/>
      <c r="K12" s="5"/>
      <c r="L12" s="3"/>
      <c r="M12" s="3"/>
      <c r="N12" s="3"/>
    </row>
    <row r="13" spans="1:14" ht="18" thickBot="1">
      <c r="C13" s="3"/>
      <c r="D13" s="10"/>
      <c r="E13" s="3"/>
      <c r="F13" s="5"/>
      <c r="G13" s="3"/>
      <c r="H13" s="3"/>
      <c r="I13" s="3"/>
      <c r="J13" s="3"/>
      <c r="K13" s="3"/>
      <c r="L13" s="3"/>
      <c r="M13" s="3"/>
      <c r="N13" s="3"/>
    </row>
    <row r="14" spans="1:14" ht="18" thickBot="1">
      <c r="C14" s="3"/>
      <c r="D14" s="10"/>
      <c r="E14" s="3"/>
      <c r="F14" s="5"/>
      <c r="G14" s="3"/>
      <c r="H14" s="3"/>
      <c r="I14" s="3"/>
      <c r="J14" s="3"/>
      <c r="K14" s="3"/>
      <c r="L14" s="3"/>
      <c r="M14" s="3"/>
      <c r="N14" s="3"/>
    </row>
    <row r="15" spans="1:14" ht="18" thickBot="1">
      <c r="C15" s="3"/>
      <c r="D15" s="10"/>
      <c r="E15" s="3"/>
      <c r="F15" s="5"/>
      <c r="G15" s="3"/>
      <c r="H15" s="3"/>
      <c r="I15" s="3"/>
      <c r="J15" s="3"/>
      <c r="K15" s="3"/>
      <c r="L15" s="3"/>
      <c r="M15" s="3"/>
      <c r="N15" s="3"/>
    </row>
    <row r="16" spans="1:14" ht="18" thickBot="1">
      <c r="C16" s="3"/>
      <c r="D16" s="10"/>
      <c r="E16" s="3"/>
      <c r="F16" s="5"/>
      <c r="G16" s="3"/>
      <c r="H16" s="3"/>
      <c r="I16" s="3"/>
      <c r="J16" s="3"/>
      <c r="K16" s="3"/>
      <c r="L16" s="3"/>
      <c r="M16" s="3"/>
      <c r="N16" s="3"/>
    </row>
    <row r="17" spans="3:14" ht="18" thickBot="1">
      <c r="C17" s="3"/>
      <c r="D17" s="10"/>
      <c r="E17" s="3"/>
      <c r="F17" s="5"/>
      <c r="G17" s="3"/>
      <c r="H17" s="3"/>
      <c r="I17" s="3"/>
      <c r="J17" s="3"/>
      <c r="K17" s="3"/>
      <c r="L17" s="3"/>
      <c r="M17" s="3"/>
      <c r="N17" s="3"/>
    </row>
    <row r="18" spans="3:14">
      <c r="C18" s="3"/>
      <c r="D18" s="3"/>
      <c r="E18" s="3"/>
      <c r="F18" s="5"/>
      <c r="G18" s="3"/>
      <c r="H18" s="3"/>
      <c r="I18" s="3"/>
      <c r="J18" s="3"/>
      <c r="K18" s="3"/>
      <c r="L18" s="3"/>
      <c r="M18" s="3"/>
      <c r="N18" s="3"/>
    </row>
    <row r="19" spans="3:14">
      <c r="C19" s="3"/>
      <c r="D19" s="3"/>
      <c r="E19" s="3"/>
      <c r="F19" s="5"/>
      <c r="G19" s="3"/>
      <c r="H19" s="3"/>
      <c r="I19" s="3"/>
      <c r="J19" s="3"/>
      <c r="K19" s="3"/>
      <c r="L19" s="3"/>
      <c r="M19" s="3"/>
      <c r="N19" s="3"/>
    </row>
    <row r="20" spans="3:14">
      <c r="C20" s="3"/>
      <c r="D20" s="3"/>
      <c r="E20" s="3"/>
      <c r="F20" s="5"/>
      <c r="G20" s="3"/>
      <c r="H20" s="3"/>
      <c r="I20" s="3"/>
      <c r="J20" s="3"/>
      <c r="K20" s="3"/>
      <c r="L20" s="3"/>
      <c r="M20" s="3"/>
      <c r="N20" s="3"/>
    </row>
    <row r="21" spans="3:14">
      <c r="C21" s="3"/>
      <c r="D21" s="3"/>
      <c r="E21" s="3"/>
      <c r="F21" s="5"/>
      <c r="G21" s="3"/>
      <c r="H21" s="3"/>
      <c r="I21" s="3"/>
      <c r="J21" s="3"/>
      <c r="K21" s="3"/>
      <c r="L21" s="3"/>
      <c r="M21" s="3"/>
      <c r="N21" s="3"/>
    </row>
    <row r="22" spans="3:14">
      <c r="C22" s="3"/>
      <c r="D22" s="3"/>
      <c r="E22" s="3"/>
      <c r="F22" s="5"/>
      <c r="G22" s="3"/>
      <c r="H22" s="3"/>
      <c r="I22" s="3"/>
      <c r="J22" s="3"/>
      <c r="K22" s="3"/>
      <c r="L22" s="3"/>
      <c r="M22" s="3"/>
      <c r="N22" s="3"/>
    </row>
    <row r="23" spans="3:14">
      <c r="C23" s="3"/>
      <c r="D23" s="3"/>
      <c r="E23" s="3"/>
      <c r="F23" s="5"/>
      <c r="G23" s="3"/>
      <c r="H23" s="3"/>
      <c r="I23" s="3"/>
      <c r="J23" s="3"/>
      <c r="K23" s="3"/>
      <c r="L23" s="3"/>
      <c r="M23" s="3"/>
      <c r="N23" s="3"/>
    </row>
    <row r="24" spans="3:14">
      <c r="C24" s="3"/>
      <c r="D24" s="3"/>
      <c r="E24" s="3"/>
      <c r="F24" s="5"/>
      <c r="G24" s="3"/>
      <c r="H24" s="3"/>
      <c r="I24" s="3"/>
      <c r="J24" s="3"/>
      <c r="K24" s="3"/>
      <c r="L24" s="3"/>
      <c r="M24" s="3"/>
      <c r="N24" s="3"/>
    </row>
    <row r="25" spans="3:14">
      <c r="C25" s="3"/>
      <c r="D25" s="3"/>
      <c r="E25" s="3"/>
      <c r="F25" s="5"/>
      <c r="G25" s="3"/>
      <c r="H25" s="3"/>
      <c r="I25" s="3"/>
      <c r="J25" s="3"/>
      <c r="K25" s="3"/>
      <c r="L25" s="3"/>
      <c r="M25" s="3"/>
      <c r="N25" s="3"/>
    </row>
    <row r="26" spans="3:14">
      <c r="C26" s="3"/>
      <c r="D26" s="3"/>
      <c r="E26" s="3"/>
      <c r="F26" s="5"/>
      <c r="G26" s="3"/>
      <c r="H26" s="3"/>
      <c r="I26" s="3"/>
      <c r="J26" s="3"/>
      <c r="K26" s="3"/>
      <c r="L26" s="3"/>
      <c r="M26" s="3"/>
      <c r="N26" s="3"/>
    </row>
    <row r="27" spans="3:14">
      <c r="C27" s="3"/>
      <c r="D27" s="3"/>
      <c r="E27" s="3"/>
      <c r="F27" s="5"/>
      <c r="G27" s="3"/>
      <c r="H27" s="3"/>
      <c r="I27" s="3"/>
      <c r="J27" s="3"/>
      <c r="K27" s="3"/>
      <c r="L27" s="3"/>
      <c r="M27" s="3"/>
      <c r="N27" s="3"/>
    </row>
    <row r="28" spans="3:14">
      <c r="C28" s="3"/>
      <c r="D28" s="3"/>
      <c r="E28" s="3"/>
      <c r="F28" s="5"/>
      <c r="G28" s="3"/>
      <c r="H28" s="3"/>
      <c r="I28" s="3"/>
      <c r="J28" s="3"/>
      <c r="K28" s="3"/>
      <c r="L28" s="3"/>
      <c r="M28" s="3"/>
      <c r="N28" s="3"/>
    </row>
    <row r="29" spans="3:14">
      <c r="C29" s="3"/>
      <c r="D29" s="3"/>
      <c r="E29" s="3"/>
      <c r="F29" s="5"/>
      <c r="G29" s="3"/>
      <c r="H29" s="3"/>
      <c r="I29" s="3"/>
      <c r="J29" s="3"/>
      <c r="K29" s="3"/>
      <c r="L29" s="3"/>
      <c r="M29" s="3"/>
      <c r="N29" s="3"/>
    </row>
    <row r="30" spans="3:14">
      <c r="C30" s="3"/>
      <c r="D30" s="3"/>
      <c r="E30" s="3"/>
      <c r="F30" s="5"/>
      <c r="G30" s="3"/>
      <c r="H30" s="3"/>
      <c r="I30" s="3"/>
      <c r="J30" s="3"/>
      <c r="K30" s="3"/>
      <c r="L30" s="3"/>
      <c r="M30" s="3"/>
      <c r="N30" s="3"/>
    </row>
    <row r="31" spans="3:14">
      <c r="C31" s="3"/>
      <c r="D31" s="3"/>
      <c r="E31" s="3"/>
      <c r="F31" s="5"/>
      <c r="G31" s="3"/>
      <c r="H31" s="3"/>
      <c r="I31" s="3"/>
      <c r="J31" s="3"/>
      <c r="K31" s="3"/>
      <c r="L31" s="3"/>
      <c r="M31" s="3"/>
      <c r="N31" s="3"/>
    </row>
    <row r="32" spans="3:14">
      <c r="C32" s="3"/>
      <c r="D32" s="3"/>
      <c r="E32" s="3"/>
      <c r="F32" s="5"/>
      <c r="G32" s="3"/>
      <c r="H32" s="3"/>
      <c r="I32" s="3"/>
      <c r="J32" s="3"/>
      <c r="K32" s="3"/>
      <c r="L32" s="3"/>
      <c r="M32" s="3"/>
      <c r="N32" s="3"/>
    </row>
    <row r="33" spans="3:14">
      <c r="C33" s="3"/>
      <c r="D33" s="3"/>
      <c r="E33" s="3"/>
      <c r="F33" s="5"/>
      <c r="G33" s="3"/>
      <c r="H33" s="3"/>
      <c r="I33" s="3"/>
      <c r="J33" s="3"/>
      <c r="K33" s="3"/>
      <c r="L33" s="3"/>
      <c r="M33" s="3"/>
      <c r="N33" s="3"/>
    </row>
    <row r="34" spans="3:14">
      <c r="C34" s="3"/>
      <c r="D34" s="3"/>
      <c r="E34" s="3"/>
      <c r="F34" s="5"/>
      <c r="G34" s="3"/>
      <c r="H34" s="3"/>
      <c r="I34" s="3"/>
      <c r="J34" s="3"/>
      <c r="K34" s="3"/>
      <c r="L34" s="3"/>
      <c r="M34" s="3"/>
      <c r="N34" s="3"/>
    </row>
    <row r="35" spans="3:14">
      <c r="C35" s="3"/>
      <c r="D35" s="3"/>
      <c r="E35" s="3"/>
      <c r="F35" s="5"/>
      <c r="G35" s="3"/>
      <c r="H35" s="3"/>
      <c r="I35" s="3"/>
      <c r="J35" s="3"/>
      <c r="K35" s="3"/>
      <c r="L35" s="3"/>
      <c r="M35" s="3"/>
      <c r="N35" s="3"/>
    </row>
    <row r="36" spans="3:14">
      <c r="C36" s="3"/>
      <c r="D36" s="3"/>
      <c r="E36" s="3"/>
      <c r="F36" s="5"/>
      <c r="G36" s="3"/>
      <c r="H36" s="3"/>
      <c r="I36" s="3"/>
      <c r="J36" s="3"/>
      <c r="K36" s="3"/>
      <c r="L36" s="3"/>
      <c r="M36" s="3"/>
      <c r="N36" s="3"/>
    </row>
    <row r="37" spans="3:14">
      <c r="C37" s="3"/>
      <c r="D37" s="3"/>
      <c r="E37" s="3"/>
      <c r="F37" s="5"/>
      <c r="G37" s="3"/>
      <c r="H37" s="3"/>
      <c r="I37" s="3"/>
      <c r="J37" s="3"/>
      <c r="K37" s="3"/>
      <c r="L37" s="3"/>
      <c r="M37" s="3"/>
      <c r="N37" s="3"/>
    </row>
    <row r="38" spans="3:14">
      <c r="C38" s="3"/>
      <c r="D38" s="3"/>
      <c r="E38" s="3"/>
      <c r="F38" s="5"/>
      <c r="G38" s="3"/>
      <c r="H38" s="3"/>
      <c r="I38" s="3"/>
      <c r="J38" s="3"/>
      <c r="K38" s="3"/>
      <c r="L38" s="3"/>
      <c r="M38" s="3"/>
      <c r="N38" s="3"/>
    </row>
    <row r="39" spans="3:14">
      <c r="C39" s="3"/>
      <c r="D39" s="3"/>
      <c r="E39" s="3"/>
      <c r="F39" s="5"/>
      <c r="G39" s="3"/>
      <c r="H39" s="3"/>
      <c r="I39" s="3"/>
      <c r="J39" s="3"/>
      <c r="K39" s="3"/>
      <c r="L39" s="3"/>
      <c r="M39" s="3"/>
      <c r="N39" s="3"/>
    </row>
    <row r="40" spans="3:14">
      <c r="C40" s="3"/>
      <c r="D40" s="3"/>
      <c r="E40" s="3"/>
      <c r="F40" s="5"/>
      <c r="G40" s="3"/>
      <c r="H40" s="3"/>
      <c r="I40" s="3"/>
      <c r="J40" s="3"/>
      <c r="K40" s="3"/>
      <c r="L40" s="3"/>
      <c r="M40" s="3"/>
      <c r="N40" s="3"/>
    </row>
    <row r="41" spans="3:14">
      <c r="C41" s="3"/>
      <c r="D41" s="3"/>
      <c r="E41" s="3"/>
      <c r="F41" s="5"/>
      <c r="G41" s="3"/>
      <c r="H41" s="3"/>
      <c r="I41" s="3"/>
      <c r="J41" s="3"/>
      <c r="K41" s="3"/>
      <c r="L41" s="3"/>
      <c r="M41" s="3"/>
      <c r="N41" s="3"/>
    </row>
    <row r="42" spans="3:14">
      <c r="C42" s="3"/>
      <c r="D42" s="3"/>
      <c r="E42" s="3"/>
      <c r="F42" s="5"/>
      <c r="G42" s="3"/>
      <c r="H42" s="3"/>
      <c r="I42" s="3"/>
      <c r="J42" s="3"/>
      <c r="K42" s="3"/>
      <c r="L42" s="3"/>
      <c r="M42" s="3"/>
      <c r="N42" s="3"/>
    </row>
    <row r="43" spans="3:14">
      <c r="C43" s="3"/>
      <c r="D43" s="3"/>
      <c r="E43" s="3"/>
      <c r="F43" s="5"/>
      <c r="G43" s="3"/>
      <c r="H43" s="3"/>
      <c r="I43" s="3"/>
      <c r="J43" s="3"/>
      <c r="K43" s="3"/>
      <c r="L43" s="3"/>
      <c r="M43" s="3"/>
      <c r="N43" s="3"/>
    </row>
    <row r="44" spans="3:14">
      <c r="C44" s="3"/>
      <c r="D44" s="3"/>
      <c r="E44" s="3"/>
      <c r="F44" s="5"/>
      <c r="G44" s="3"/>
      <c r="H44" s="3"/>
      <c r="I44" s="3"/>
      <c r="J44" s="3"/>
      <c r="K44" s="3"/>
      <c r="L44" s="3"/>
      <c r="M44" s="3"/>
      <c r="N44" s="3"/>
    </row>
    <row r="45" spans="3:14">
      <c r="C45" s="3"/>
      <c r="D45" s="3"/>
      <c r="E45" s="3"/>
      <c r="F45" s="5"/>
      <c r="G45" s="3"/>
      <c r="H45" s="3"/>
      <c r="I45" s="3"/>
      <c r="J45" s="3"/>
      <c r="K45" s="3"/>
      <c r="L45" s="3"/>
      <c r="M45" s="3"/>
      <c r="N45" s="3"/>
    </row>
    <row r="46" spans="3:14">
      <c r="C46" s="3"/>
      <c r="D46" s="3"/>
      <c r="E46" s="3"/>
      <c r="F46" s="5"/>
      <c r="G46" s="3"/>
      <c r="H46" s="3"/>
      <c r="I46" s="3"/>
      <c r="J46" s="3"/>
      <c r="K46" s="3"/>
      <c r="L46" s="3"/>
      <c r="M46" s="3"/>
      <c r="N46" s="3"/>
    </row>
    <row r="47" spans="3:14">
      <c r="C47" s="3"/>
      <c r="D47" s="3"/>
      <c r="E47" s="3"/>
      <c r="F47" s="5"/>
      <c r="G47" s="3"/>
      <c r="H47" s="3"/>
      <c r="I47" s="3"/>
      <c r="J47" s="3"/>
      <c r="K47" s="3"/>
      <c r="L47" s="3"/>
      <c r="M47" s="3"/>
      <c r="N47" s="3"/>
    </row>
    <row r="48" spans="3:14">
      <c r="C48" s="3"/>
      <c r="D48" s="3"/>
      <c r="E48" s="3"/>
      <c r="F48" s="5"/>
      <c r="G48" s="3"/>
      <c r="H48" s="3"/>
      <c r="I48" s="3"/>
      <c r="J48" s="3"/>
      <c r="K48" s="3"/>
      <c r="L48" s="3"/>
      <c r="M48" s="3"/>
      <c r="N48" s="3"/>
    </row>
    <row r="49" spans="3:14">
      <c r="C49" s="3"/>
      <c r="D49" s="3"/>
      <c r="E49" s="3"/>
      <c r="F49" s="5"/>
      <c r="G49" s="3"/>
      <c r="H49" s="3"/>
      <c r="I49" s="3"/>
      <c r="J49" s="3"/>
      <c r="K49" s="3"/>
      <c r="L49" s="3"/>
      <c r="M49" s="3"/>
      <c r="N49" s="3"/>
    </row>
    <row r="50" spans="3:14">
      <c r="C50" s="3"/>
      <c r="D50" s="3"/>
      <c r="E50" s="3"/>
      <c r="F50" s="5"/>
      <c r="G50" s="3"/>
      <c r="H50" s="3"/>
      <c r="I50" s="3"/>
      <c r="J50" s="3"/>
      <c r="K50" s="3"/>
      <c r="L50" s="3"/>
      <c r="M50" s="3"/>
      <c r="N50" s="3"/>
    </row>
    <row r="51" spans="3:14">
      <c r="C51" s="3"/>
      <c r="D51" s="3"/>
      <c r="E51" s="3"/>
      <c r="F51" s="5"/>
      <c r="G51" s="3"/>
      <c r="H51" s="3"/>
      <c r="I51" s="3"/>
      <c r="J51" s="3"/>
      <c r="K51" s="3"/>
      <c r="L51" s="3"/>
      <c r="M51" s="3"/>
      <c r="N51" s="3"/>
    </row>
    <row r="52" spans="3:14">
      <c r="C52" s="3"/>
      <c r="D52" s="3"/>
      <c r="E52" s="3"/>
      <c r="F52" s="5"/>
      <c r="G52" s="3"/>
      <c r="H52" s="3"/>
      <c r="I52" s="3"/>
      <c r="J52" s="3"/>
      <c r="K52" s="3"/>
      <c r="L52" s="3"/>
      <c r="M52" s="3"/>
      <c r="N52" s="3"/>
    </row>
    <row r="53" spans="3:14">
      <c r="C53" s="3"/>
      <c r="D53" s="3"/>
      <c r="E53" s="3"/>
      <c r="F53" s="5"/>
      <c r="G53" s="3"/>
      <c r="H53" s="3"/>
      <c r="I53" s="3"/>
      <c r="J53" s="3"/>
      <c r="K53" s="3"/>
      <c r="L53" s="3"/>
      <c r="M53" s="3"/>
      <c r="N53" s="3"/>
    </row>
    <row r="54" spans="3:14">
      <c r="C54" s="3"/>
      <c r="D54" s="3"/>
      <c r="E54" s="3"/>
      <c r="F54" s="5"/>
      <c r="G54" s="3"/>
      <c r="H54" s="3"/>
      <c r="I54" s="3"/>
      <c r="J54" s="3"/>
      <c r="K54" s="3"/>
      <c r="L54" s="3"/>
      <c r="M54" s="3"/>
      <c r="N54" s="3"/>
    </row>
    <row r="55" spans="3:14">
      <c r="C55" s="3"/>
      <c r="D55" s="3"/>
      <c r="E55" s="3"/>
      <c r="F55" s="5"/>
      <c r="G55" s="3"/>
      <c r="H55" s="3"/>
      <c r="I55" s="3"/>
      <c r="J55" s="3"/>
      <c r="K55" s="3"/>
      <c r="L55" s="3"/>
      <c r="M55" s="3"/>
      <c r="N55" s="3"/>
    </row>
    <row r="56" spans="3:14">
      <c r="C56" s="3"/>
      <c r="D56" s="3"/>
      <c r="E56" s="3"/>
      <c r="F56" s="5"/>
      <c r="G56" s="3"/>
      <c r="H56" s="3"/>
      <c r="I56" s="3"/>
      <c r="J56" s="3"/>
      <c r="K56" s="3"/>
      <c r="L56" s="3"/>
      <c r="M56" s="3"/>
      <c r="N56" s="3"/>
    </row>
    <row r="57" spans="3:14">
      <c r="C57" s="3"/>
      <c r="D57" s="3"/>
      <c r="E57" s="3"/>
      <c r="F57" s="5"/>
      <c r="G57" s="3"/>
      <c r="H57" s="3"/>
      <c r="I57" s="3"/>
      <c r="J57" s="3"/>
      <c r="K57" s="3"/>
      <c r="L57" s="3"/>
      <c r="M57" s="3"/>
      <c r="N57" s="3"/>
    </row>
    <row r="58" spans="3:14">
      <c r="C58" s="3"/>
      <c r="D58" s="3"/>
      <c r="E58" s="3"/>
      <c r="F58" s="5"/>
      <c r="G58" s="3"/>
      <c r="H58" s="3"/>
      <c r="I58" s="3"/>
      <c r="J58" s="3"/>
      <c r="K58" s="3"/>
      <c r="L58" s="3"/>
      <c r="M58" s="3"/>
      <c r="N58" s="3"/>
    </row>
    <row r="59" spans="3:14">
      <c r="C59" s="3"/>
      <c r="D59" s="3"/>
      <c r="E59" s="3"/>
      <c r="F59" s="5"/>
      <c r="G59" s="3"/>
      <c r="H59" s="3"/>
      <c r="I59" s="3"/>
      <c r="J59" s="3"/>
      <c r="K59" s="3"/>
      <c r="L59" s="3"/>
      <c r="M59" s="3"/>
      <c r="N59" s="3"/>
    </row>
    <row r="60" spans="3:14">
      <c r="C60" s="3"/>
      <c r="D60" s="3"/>
      <c r="E60" s="3"/>
      <c r="F60" s="5"/>
      <c r="G60" s="3"/>
      <c r="H60" s="3"/>
      <c r="I60" s="3"/>
      <c r="J60" s="3"/>
      <c r="K60" s="3"/>
      <c r="L60" s="3"/>
      <c r="M60" s="3"/>
      <c r="N60" s="3"/>
    </row>
    <row r="61" spans="3:14">
      <c r="C61" s="3"/>
      <c r="D61" s="3"/>
      <c r="E61" s="3"/>
      <c r="F61" s="5"/>
      <c r="G61" s="3"/>
      <c r="H61" s="3"/>
      <c r="I61" s="3"/>
      <c r="J61" s="3"/>
      <c r="K61" s="3"/>
      <c r="L61" s="3"/>
      <c r="M61" s="3"/>
      <c r="N61" s="3"/>
    </row>
    <row r="62" spans="3:14">
      <c r="C62" s="3"/>
      <c r="D62" s="3"/>
      <c r="E62" s="3"/>
      <c r="F62" s="5"/>
      <c r="G62" s="3"/>
      <c r="H62" s="3"/>
      <c r="I62" s="3"/>
      <c r="J62" s="3"/>
      <c r="K62" s="3"/>
      <c r="L62" s="3"/>
      <c r="M62" s="3"/>
      <c r="N62" s="3"/>
    </row>
    <row r="63" spans="3:14">
      <c r="C63" s="3"/>
      <c r="D63" s="3"/>
      <c r="E63" s="3"/>
      <c r="F63" s="5"/>
      <c r="G63" s="3"/>
      <c r="H63" s="3"/>
      <c r="I63" s="3"/>
      <c r="J63" s="3"/>
      <c r="K63" s="3"/>
      <c r="L63" s="3"/>
      <c r="M63" s="3"/>
      <c r="N63" s="3"/>
    </row>
    <row r="64" spans="3:14">
      <c r="C64" s="3"/>
      <c r="D64" s="3"/>
      <c r="E64" s="3"/>
      <c r="F64" s="5"/>
      <c r="G64" s="3"/>
      <c r="H64" s="3"/>
      <c r="I64" s="3"/>
      <c r="J64" s="3"/>
      <c r="K64" s="3"/>
      <c r="L64" s="3"/>
      <c r="M64" s="3"/>
      <c r="N64" s="3"/>
    </row>
    <row r="65" spans="3:14">
      <c r="C65" s="3"/>
      <c r="D65" s="3"/>
      <c r="E65" s="3"/>
      <c r="F65" s="5"/>
      <c r="G65" s="3"/>
      <c r="H65" s="3"/>
      <c r="I65" s="3"/>
      <c r="J65" s="3"/>
      <c r="K65" s="3"/>
      <c r="L65" s="3"/>
      <c r="M65" s="3"/>
      <c r="N65" s="3"/>
    </row>
    <row r="66" spans="3:14">
      <c r="C66" s="3"/>
      <c r="D66" s="3"/>
      <c r="E66" s="3"/>
      <c r="F66" s="5"/>
      <c r="G66" s="3"/>
      <c r="H66" s="3"/>
      <c r="I66" s="3"/>
      <c r="J66" s="3"/>
      <c r="K66" s="3"/>
      <c r="L66" s="3"/>
      <c r="M66" s="3"/>
      <c r="N66" s="3"/>
    </row>
    <row r="67" spans="3:14">
      <c r="C67" s="3"/>
      <c r="D67" s="3"/>
      <c r="E67" s="3"/>
      <c r="F67" s="5"/>
      <c r="G67" s="3"/>
      <c r="H67" s="3"/>
      <c r="I67" s="3"/>
      <c r="J67" s="3"/>
      <c r="K67" s="3"/>
      <c r="L67" s="3"/>
      <c r="M67" s="3"/>
      <c r="N67" s="3"/>
    </row>
    <row r="68" spans="3:14">
      <c r="C68" s="3"/>
      <c r="D68" s="3"/>
      <c r="E68" s="3"/>
      <c r="F68" s="5"/>
      <c r="G68" s="3"/>
      <c r="H68" s="3"/>
      <c r="I68" s="3"/>
      <c r="J68" s="3"/>
      <c r="K68" s="3"/>
      <c r="L68" s="3"/>
      <c r="M68" s="3"/>
      <c r="N68" s="3"/>
    </row>
    <row r="69" spans="3:14">
      <c r="C69" s="3"/>
      <c r="D69" s="3"/>
      <c r="E69" s="3"/>
      <c r="F69" s="5"/>
      <c r="G69" s="3"/>
      <c r="H69" s="3"/>
      <c r="I69" s="3"/>
      <c r="J69" s="3"/>
      <c r="K69" s="3"/>
      <c r="L69" s="3"/>
      <c r="M69" s="3"/>
      <c r="N69" s="3"/>
    </row>
    <row r="70" spans="3:14">
      <c r="C70" s="3"/>
      <c r="D70" s="3"/>
      <c r="E70" s="3"/>
      <c r="F70" s="5"/>
      <c r="G70" s="3"/>
      <c r="H70" s="3"/>
      <c r="I70" s="3"/>
      <c r="J70" s="3"/>
      <c r="K70" s="3"/>
      <c r="L70" s="3"/>
      <c r="M70" s="3"/>
      <c r="N70" s="3"/>
    </row>
    <row r="71" spans="3:14">
      <c r="C71" s="3"/>
      <c r="D71" s="3"/>
      <c r="E71" s="3"/>
      <c r="F71" s="5"/>
      <c r="G71" s="3"/>
      <c r="H71" s="3"/>
      <c r="I71" s="3"/>
      <c r="J71" s="3"/>
      <c r="K71" s="3"/>
      <c r="L71" s="3"/>
      <c r="M71" s="3"/>
      <c r="N71" s="3"/>
    </row>
    <row r="72" spans="3:14">
      <c r="C72" s="3"/>
      <c r="D72" s="3"/>
      <c r="E72" s="3"/>
      <c r="F72" s="5"/>
      <c r="G72" s="3"/>
      <c r="H72" s="3"/>
      <c r="I72" s="3"/>
      <c r="J72" s="3"/>
      <c r="K72" s="3"/>
      <c r="L72" s="3"/>
      <c r="M72" s="3"/>
      <c r="N72" s="3"/>
    </row>
    <row r="73" spans="3:14">
      <c r="C73" s="3"/>
      <c r="D73" s="3"/>
      <c r="E73" s="3"/>
      <c r="F73" s="5"/>
      <c r="G73" s="3"/>
      <c r="H73" s="3"/>
      <c r="I73" s="3"/>
      <c r="J73" s="3"/>
      <c r="K73" s="3"/>
      <c r="L73" s="3"/>
      <c r="M73" s="3"/>
      <c r="N73" s="3"/>
    </row>
    <row r="74" spans="3:14">
      <c r="C74" s="3"/>
      <c r="D74" s="3"/>
      <c r="E74" s="3"/>
      <c r="F74" s="5"/>
      <c r="G74" s="3"/>
      <c r="H74" s="3"/>
      <c r="I74" s="3"/>
      <c r="J74" s="3"/>
      <c r="K74" s="3"/>
      <c r="L74" s="3"/>
      <c r="M74" s="3"/>
      <c r="N74" s="3"/>
    </row>
    <row r="75" spans="3:14">
      <c r="C75" s="3"/>
      <c r="D75" s="3"/>
      <c r="E75" s="3"/>
      <c r="F75" s="5"/>
      <c r="G75" s="3"/>
      <c r="H75" s="3"/>
      <c r="I75" s="3"/>
      <c r="J75" s="3"/>
      <c r="K75" s="3"/>
      <c r="L75" s="3"/>
      <c r="M75" s="3"/>
      <c r="N75" s="3"/>
    </row>
    <row r="76" spans="3:14">
      <c r="C76" s="3"/>
      <c r="D76" s="3"/>
      <c r="E76" s="3"/>
      <c r="F76" s="5"/>
      <c r="G76" s="3"/>
      <c r="H76" s="3"/>
      <c r="I76" s="3"/>
      <c r="J76" s="3"/>
      <c r="K76" s="3"/>
      <c r="L76" s="3"/>
      <c r="M76" s="3"/>
      <c r="N76" s="3"/>
    </row>
    <row r="77" spans="3:14">
      <c r="C77" s="3"/>
      <c r="D77" s="3"/>
      <c r="E77" s="3"/>
      <c r="F77" s="5"/>
      <c r="G77" s="3"/>
      <c r="H77" s="3"/>
      <c r="I77" s="3"/>
      <c r="J77" s="3"/>
      <c r="K77" s="3"/>
      <c r="L77" s="3"/>
      <c r="M77" s="3"/>
      <c r="N77" s="3"/>
    </row>
    <row r="78" spans="3:14">
      <c r="C78" s="3"/>
      <c r="D78" s="3"/>
      <c r="E78" s="3"/>
      <c r="F78" s="5"/>
      <c r="G78" s="3"/>
      <c r="H78" s="3"/>
      <c r="I78" s="3"/>
      <c r="J78" s="3"/>
      <c r="K78" s="3"/>
      <c r="L78" s="3"/>
      <c r="M78" s="3"/>
      <c r="N78" s="3"/>
    </row>
    <row r="79" spans="3:14">
      <c r="C79" s="3"/>
      <c r="D79" s="3"/>
      <c r="E79" s="3"/>
      <c r="F79" s="5"/>
      <c r="G79" s="3"/>
      <c r="H79" s="3"/>
      <c r="I79" s="3"/>
      <c r="J79" s="3"/>
      <c r="K79" s="3"/>
      <c r="L79" s="3"/>
      <c r="M79" s="3"/>
      <c r="N79" s="3"/>
    </row>
    <row r="80" spans="3:14">
      <c r="C80" s="3"/>
      <c r="D80" s="3"/>
      <c r="E80" s="3"/>
      <c r="F80" s="5"/>
      <c r="G80" s="3"/>
      <c r="H80" s="3"/>
      <c r="I80" s="3"/>
      <c r="J80" s="3"/>
      <c r="K80" s="3"/>
      <c r="L80" s="3"/>
      <c r="M80" s="3"/>
      <c r="N80" s="3"/>
    </row>
    <row r="81" spans="3:14">
      <c r="C81" s="3"/>
      <c r="D81" s="3"/>
      <c r="E81" s="3"/>
      <c r="F81" s="5"/>
      <c r="G81" s="3"/>
      <c r="H81" s="3"/>
      <c r="I81" s="3"/>
      <c r="J81" s="3"/>
      <c r="K81" s="3"/>
      <c r="L81" s="3"/>
      <c r="M81" s="3"/>
      <c r="N81" s="3"/>
    </row>
    <row r="82" spans="3:14">
      <c r="C82" s="3"/>
      <c r="D82" s="3"/>
      <c r="E82" s="3"/>
      <c r="F82" s="5"/>
      <c r="G82" s="3"/>
      <c r="H82" s="3"/>
      <c r="I82" s="3"/>
      <c r="J82" s="3"/>
      <c r="K82" s="3"/>
      <c r="L82" s="3"/>
      <c r="M82" s="3"/>
      <c r="N82" s="3"/>
    </row>
    <row r="83" spans="3:14">
      <c r="C83" s="3"/>
      <c r="D83" s="3"/>
      <c r="E83" s="3"/>
      <c r="F83" s="5"/>
      <c r="G83" s="3"/>
      <c r="H83" s="3"/>
      <c r="I83" s="3"/>
      <c r="J83" s="3"/>
      <c r="K83" s="3"/>
      <c r="L83" s="3"/>
      <c r="M83" s="3"/>
      <c r="N83" s="3"/>
    </row>
    <row r="84" spans="3:14">
      <c r="C84" s="3"/>
      <c r="D84" s="3"/>
      <c r="E84" s="3"/>
      <c r="F84" s="5"/>
      <c r="G84" s="3"/>
      <c r="H84" s="3"/>
      <c r="I84" s="3"/>
      <c r="J84" s="3"/>
      <c r="K84" s="3"/>
      <c r="L84" s="3"/>
      <c r="M84" s="3"/>
      <c r="N84" s="3"/>
    </row>
    <row r="85" spans="3:14">
      <c r="C85" s="3"/>
      <c r="D85" s="3"/>
      <c r="E85" s="3"/>
      <c r="F85" s="5"/>
      <c r="G85" s="3"/>
      <c r="H85" s="3"/>
      <c r="I85" s="3"/>
      <c r="J85" s="3"/>
      <c r="K85" s="3"/>
      <c r="L85" s="3"/>
      <c r="M85" s="3"/>
      <c r="N85" s="3"/>
    </row>
    <row r="86" spans="3:14">
      <c r="C86" s="3"/>
      <c r="D86" s="3"/>
      <c r="E86" s="3"/>
      <c r="F86" s="5"/>
      <c r="G86" s="3"/>
      <c r="H86" s="3"/>
      <c r="I86" s="3"/>
      <c r="J86" s="3"/>
      <c r="K86" s="3"/>
      <c r="L86" s="3"/>
      <c r="M86" s="3"/>
      <c r="N86" s="3"/>
    </row>
    <row r="87" spans="3:14">
      <c r="C87" s="3"/>
      <c r="D87" s="3"/>
      <c r="E87" s="3"/>
      <c r="F87" s="5"/>
      <c r="G87" s="3"/>
      <c r="H87" s="3"/>
      <c r="I87" s="3"/>
      <c r="J87" s="3"/>
      <c r="K87" s="3"/>
      <c r="L87" s="3"/>
      <c r="M87" s="3"/>
      <c r="N87" s="3"/>
    </row>
    <row r="88" spans="3:14">
      <c r="C88" s="3"/>
      <c r="D88" s="3"/>
      <c r="E88" s="3"/>
      <c r="F88" s="5"/>
      <c r="G88" s="3"/>
      <c r="H88" s="3"/>
      <c r="I88" s="3"/>
      <c r="J88" s="3"/>
      <c r="K88" s="3"/>
      <c r="L88" s="3"/>
      <c r="M88" s="3"/>
      <c r="N88" s="3"/>
    </row>
    <row r="89" spans="3:14">
      <c r="C89" s="3"/>
      <c r="D89" s="3"/>
      <c r="E89" s="3"/>
      <c r="F89" s="5"/>
      <c r="G89" s="3"/>
      <c r="H89" s="3"/>
      <c r="I89" s="3"/>
      <c r="J89" s="3"/>
      <c r="K89" s="3"/>
      <c r="L89" s="3"/>
      <c r="M89" s="3"/>
      <c r="N89" s="3"/>
    </row>
    <row r="90" spans="3:14">
      <c r="C90" s="3"/>
      <c r="D90" s="3"/>
      <c r="E90" s="3"/>
      <c r="F90" s="5"/>
      <c r="G90" s="3"/>
      <c r="H90" s="3"/>
      <c r="I90" s="3"/>
      <c r="J90" s="3"/>
      <c r="K90" s="3"/>
      <c r="L90" s="3"/>
      <c r="M90" s="3"/>
      <c r="N90" s="3"/>
    </row>
    <row r="91" spans="3:14">
      <c r="C91" s="3"/>
      <c r="D91" s="3"/>
      <c r="E91" s="3"/>
      <c r="F91" s="5"/>
      <c r="G91" s="3"/>
      <c r="H91" s="3"/>
      <c r="I91" s="3"/>
      <c r="J91" s="3"/>
      <c r="K91" s="3"/>
      <c r="L91" s="3"/>
      <c r="M91" s="3"/>
      <c r="N91" s="3"/>
    </row>
    <row r="92" spans="3:14">
      <c r="C92" s="3"/>
      <c r="D92" s="3"/>
      <c r="E92" s="3"/>
      <c r="F92" s="5"/>
      <c r="G92" s="3"/>
      <c r="H92" s="3"/>
      <c r="I92" s="3"/>
      <c r="J92" s="3"/>
      <c r="K92" s="3"/>
      <c r="L92" s="3"/>
      <c r="M92" s="3"/>
      <c r="N92" s="3"/>
    </row>
    <row r="93" spans="3:14">
      <c r="C93" s="3"/>
      <c r="D93" s="3"/>
      <c r="E93" s="3"/>
      <c r="F93" s="5"/>
      <c r="G93" s="3"/>
      <c r="H93" s="3"/>
      <c r="I93" s="3"/>
      <c r="J93" s="3"/>
      <c r="K93" s="3"/>
      <c r="L93" s="3"/>
      <c r="M93" s="3"/>
      <c r="N93" s="3"/>
    </row>
    <row r="94" spans="3:14">
      <c r="C94" s="3"/>
      <c r="D94" s="3"/>
      <c r="E94" s="3"/>
      <c r="F94" s="5"/>
      <c r="G94" s="3"/>
      <c r="H94" s="3"/>
      <c r="I94" s="3"/>
      <c r="J94" s="3"/>
      <c r="K94" s="3"/>
      <c r="L94" s="3"/>
      <c r="M94" s="3"/>
      <c r="N94" s="3"/>
    </row>
    <row r="95" spans="3:14">
      <c r="C95" s="3"/>
      <c r="D95" s="3"/>
      <c r="E95" s="3"/>
      <c r="F95" s="5"/>
      <c r="G95" s="3"/>
      <c r="H95" s="3"/>
      <c r="I95" s="3"/>
      <c r="J95" s="3"/>
      <c r="K95" s="3"/>
      <c r="L95" s="3"/>
      <c r="M95" s="3"/>
      <c r="N95" s="3"/>
    </row>
    <row r="96" spans="3:14">
      <c r="C96" s="3"/>
      <c r="D96" s="3"/>
      <c r="E96" s="3"/>
      <c r="F96" s="5"/>
      <c r="G96" s="3"/>
      <c r="H96" s="3"/>
      <c r="I96" s="3"/>
      <c r="J96" s="3"/>
      <c r="K96" s="3"/>
      <c r="L96" s="3"/>
      <c r="M96" s="3"/>
      <c r="N96" s="3"/>
    </row>
    <row r="97" spans="3:14">
      <c r="C97" s="3"/>
      <c r="D97" s="3"/>
      <c r="E97" s="3"/>
      <c r="F97" s="5"/>
      <c r="G97" s="3"/>
      <c r="H97" s="3"/>
      <c r="I97" s="3"/>
      <c r="J97" s="3"/>
      <c r="K97" s="3"/>
      <c r="L97" s="3"/>
      <c r="M97" s="3"/>
      <c r="N97" s="3"/>
    </row>
    <row r="98" spans="3:14">
      <c r="C98" s="3"/>
      <c r="D98" s="3"/>
      <c r="E98" s="3"/>
      <c r="F98" s="5"/>
      <c r="G98" s="3"/>
      <c r="H98" s="3"/>
      <c r="I98" s="3"/>
      <c r="J98" s="3"/>
      <c r="K98" s="3"/>
      <c r="L98" s="3"/>
      <c r="M98" s="3"/>
      <c r="N98" s="3"/>
    </row>
    <row r="99" spans="3:14">
      <c r="C99" s="3"/>
      <c r="D99" s="3"/>
      <c r="E99" s="3"/>
      <c r="F99" s="5"/>
      <c r="G99" s="3"/>
      <c r="H99" s="3"/>
      <c r="I99" s="3"/>
      <c r="J99" s="3"/>
      <c r="K99" s="3"/>
      <c r="L99" s="3"/>
      <c r="M99" s="3"/>
      <c r="N99" s="3"/>
    </row>
    <row r="100" spans="3:14">
      <c r="C100" s="3"/>
      <c r="D100" s="3"/>
      <c r="E100" s="3"/>
      <c r="F100" s="5"/>
      <c r="G100" s="3"/>
      <c r="H100" s="3"/>
      <c r="I100" s="3"/>
      <c r="J100" s="3"/>
      <c r="K100" s="3"/>
      <c r="L100" s="3"/>
      <c r="M100" s="3"/>
      <c r="N100" s="3"/>
    </row>
    <row r="101" spans="3:14">
      <c r="C101" s="3"/>
      <c r="D101" s="3"/>
      <c r="E101" s="3"/>
      <c r="F101" s="5"/>
      <c r="G101" s="3"/>
      <c r="H101" s="3"/>
      <c r="I101" s="3"/>
      <c r="J101" s="3"/>
      <c r="K101" s="3"/>
      <c r="L101" s="3"/>
      <c r="M101" s="3"/>
      <c r="N101" s="3"/>
    </row>
    <row r="102" spans="3:14">
      <c r="C102" s="3"/>
      <c r="D102" s="3"/>
      <c r="E102" s="3"/>
      <c r="F102" s="5"/>
      <c r="G102" s="3"/>
      <c r="H102" s="3"/>
      <c r="I102" s="3"/>
      <c r="J102" s="3"/>
      <c r="K102" s="3"/>
      <c r="L102" s="3"/>
      <c r="M102" s="3"/>
      <c r="N102" s="3"/>
    </row>
    <row r="103" spans="3:14">
      <c r="C103" s="3"/>
      <c r="D103" s="3"/>
      <c r="E103" s="3"/>
      <c r="F103" s="5"/>
      <c r="G103" s="3"/>
      <c r="H103" s="3"/>
      <c r="I103" s="3"/>
      <c r="J103" s="3"/>
      <c r="K103" s="3"/>
      <c r="L103" s="3"/>
      <c r="M103" s="3"/>
      <c r="N103" s="3"/>
    </row>
    <row r="104" spans="3:14">
      <c r="C104" s="3"/>
      <c r="D104" s="3"/>
      <c r="E104" s="3"/>
      <c r="F104" s="5"/>
      <c r="G104" s="3"/>
      <c r="H104" s="3"/>
      <c r="I104" s="3"/>
      <c r="J104" s="3"/>
      <c r="K104" s="3"/>
      <c r="L104" s="3"/>
      <c r="M104" s="3"/>
      <c r="N104" s="3"/>
    </row>
    <row r="105" spans="3:14">
      <c r="C105" s="3"/>
      <c r="D105" s="3"/>
      <c r="E105" s="3"/>
      <c r="F105" s="5"/>
      <c r="G105" s="3"/>
      <c r="H105" s="3"/>
      <c r="I105" s="3"/>
      <c r="J105" s="3"/>
      <c r="K105" s="3"/>
      <c r="L105" s="3"/>
      <c r="M105" s="3"/>
      <c r="N105" s="3"/>
    </row>
    <row r="106" spans="3:14">
      <c r="C106" s="3"/>
      <c r="D106" s="3"/>
      <c r="E106" s="3"/>
      <c r="F106" s="5"/>
      <c r="G106" s="3"/>
      <c r="H106" s="3"/>
      <c r="I106" s="3"/>
      <c r="J106" s="3"/>
      <c r="K106" s="3"/>
      <c r="L106" s="3"/>
      <c r="M106" s="3"/>
      <c r="N106" s="3"/>
    </row>
    <row r="107" spans="3:14">
      <c r="C107" s="3"/>
      <c r="D107" s="3"/>
      <c r="E107" s="3"/>
      <c r="F107" s="5"/>
      <c r="G107" s="3"/>
      <c r="H107" s="3"/>
      <c r="I107" s="3"/>
      <c r="J107" s="3"/>
      <c r="K107" s="3"/>
      <c r="L107" s="3"/>
      <c r="M107" s="3"/>
      <c r="N107" s="3"/>
    </row>
    <row r="108" spans="3:14">
      <c r="C108" s="3"/>
      <c r="D108" s="3"/>
      <c r="E108" s="3"/>
      <c r="F108" s="5"/>
      <c r="G108" s="3"/>
      <c r="H108" s="3"/>
      <c r="I108" s="3"/>
      <c r="J108" s="3"/>
      <c r="K108" s="3"/>
      <c r="L108" s="3"/>
      <c r="M108" s="3"/>
      <c r="N108" s="3"/>
    </row>
    <row r="109" spans="3:14">
      <c r="C109" s="3"/>
      <c r="D109" s="3"/>
      <c r="E109" s="3"/>
      <c r="F109" s="5"/>
      <c r="G109" s="3"/>
      <c r="H109" s="3"/>
      <c r="I109" s="3"/>
      <c r="J109" s="3"/>
      <c r="K109" s="3"/>
      <c r="L109" s="3"/>
      <c r="M109" s="3"/>
      <c r="N109" s="3"/>
    </row>
    <row r="110" spans="3:14">
      <c r="C110" s="3"/>
      <c r="D110" s="3"/>
      <c r="E110" s="3"/>
      <c r="F110" s="5"/>
      <c r="G110" s="3"/>
      <c r="H110" s="3"/>
      <c r="I110" s="3"/>
      <c r="J110" s="3"/>
      <c r="K110" s="3"/>
      <c r="L110" s="3"/>
      <c r="M110" s="3"/>
      <c r="N110" s="3"/>
    </row>
    <row r="111" spans="3:14">
      <c r="C111" s="3"/>
      <c r="D111" s="3"/>
      <c r="E111" s="3"/>
      <c r="F111" s="5"/>
      <c r="G111" s="3"/>
      <c r="H111" s="3"/>
      <c r="I111" s="3"/>
      <c r="J111" s="3"/>
      <c r="K111" s="3"/>
      <c r="L111" s="3"/>
      <c r="M111" s="3"/>
      <c r="N111" s="3"/>
    </row>
    <row r="112" spans="3:14">
      <c r="C112" s="3"/>
      <c r="D112" s="3"/>
      <c r="E112" s="3"/>
      <c r="F112" s="5"/>
      <c r="G112" s="3"/>
      <c r="H112" s="3"/>
      <c r="I112" s="3"/>
      <c r="J112" s="3"/>
      <c r="K112" s="3"/>
      <c r="L112" s="3"/>
      <c r="M112" s="3"/>
      <c r="N112" s="3"/>
    </row>
    <row r="113" spans="3:14">
      <c r="C113" s="3"/>
      <c r="D113" s="3"/>
      <c r="E113" s="3"/>
      <c r="F113" s="5"/>
      <c r="G113" s="3"/>
      <c r="H113" s="3"/>
      <c r="I113" s="3"/>
      <c r="J113" s="3"/>
      <c r="K113" s="3"/>
      <c r="L113" s="3"/>
      <c r="M113" s="3"/>
      <c r="N113" s="3"/>
    </row>
    <row r="114" spans="3:14">
      <c r="C114" s="3"/>
      <c r="D114" s="3"/>
      <c r="E114" s="3"/>
      <c r="F114" s="5"/>
      <c r="G114" s="3"/>
      <c r="H114" s="3"/>
      <c r="I114" s="3"/>
      <c r="J114" s="3"/>
      <c r="K114" s="3"/>
      <c r="L114" s="3"/>
      <c r="M114" s="3"/>
      <c r="N114" s="3"/>
    </row>
    <row r="115" spans="3:14">
      <c r="C115" s="3"/>
      <c r="D115" s="3"/>
      <c r="E115" s="3"/>
      <c r="F115" s="5"/>
      <c r="G115" s="3"/>
      <c r="H115" s="3"/>
      <c r="I115" s="3"/>
      <c r="J115" s="3"/>
      <c r="K115" s="3"/>
      <c r="L115" s="3"/>
      <c r="M115" s="3"/>
      <c r="N115" s="3"/>
    </row>
    <row r="116" spans="3:14">
      <c r="C116" s="3"/>
      <c r="D116" s="3"/>
      <c r="E116" s="3"/>
      <c r="F116" s="5"/>
      <c r="G116" s="3"/>
      <c r="H116" s="3"/>
      <c r="I116" s="3"/>
      <c r="J116" s="3"/>
      <c r="K116" s="3"/>
      <c r="L116" s="3"/>
      <c r="M116" s="3"/>
      <c r="N116" s="3"/>
    </row>
    <row r="117" spans="3:14">
      <c r="C117" s="3"/>
      <c r="D117" s="3"/>
      <c r="E117" s="3"/>
      <c r="F117" s="5"/>
      <c r="G117" s="3"/>
      <c r="H117" s="3"/>
      <c r="I117" s="3"/>
      <c r="J117" s="3"/>
      <c r="K117" s="3"/>
      <c r="L117" s="3"/>
      <c r="M117" s="3"/>
      <c r="N117" s="3"/>
    </row>
    <row r="118" spans="3:14">
      <c r="C118" s="3"/>
      <c r="D118" s="3"/>
      <c r="E118" s="3"/>
      <c r="F118" s="5"/>
      <c r="G118" s="3"/>
      <c r="H118" s="3"/>
      <c r="I118" s="3"/>
      <c r="J118" s="3"/>
      <c r="K118" s="3"/>
      <c r="L118" s="3"/>
      <c r="M118" s="3"/>
      <c r="N118" s="3"/>
    </row>
    <row r="119" spans="3:14">
      <c r="C119" s="3"/>
      <c r="D119" s="3"/>
      <c r="E119" s="3"/>
      <c r="F119" s="5"/>
      <c r="G119" s="3"/>
      <c r="H119" s="3"/>
      <c r="I119" s="3"/>
      <c r="J119" s="3"/>
      <c r="K119" s="3"/>
      <c r="L119" s="3"/>
      <c r="M119" s="3"/>
      <c r="N119" s="3"/>
    </row>
    <row r="120" spans="3:14">
      <c r="C120" s="3"/>
      <c r="D120" s="3"/>
      <c r="E120" s="3"/>
      <c r="F120" s="5"/>
      <c r="G120" s="3"/>
      <c r="H120" s="3"/>
      <c r="I120" s="3"/>
      <c r="J120" s="3"/>
      <c r="K120" s="3"/>
      <c r="L120" s="3"/>
      <c r="M120" s="3"/>
      <c r="N120" s="3"/>
    </row>
    <row r="121" spans="3:14">
      <c r="C121" s="3"/>
      <c r="D121" s="3"/>
      <c r="E121" s="3"/>
      <c r="F121" s="5"/>
      <c r="G121" s="3"/>
      <c r="H121" s="3"/>
      <c r="I121" s="3"/>
      <c r="J121" s="3"/>
      <c r="K121" s="3"/>
      <c r="L121" s="3"/>
      <c r="M121" s="3"/>
      <c r="N121" s="3"/>
    </row>
    <row r="122" spans="3:14">
      <c r="C122" s="3"/>
      <c r="D122" s="3"/>
      <c r="E122" s="3"/>
      <c r="F122" s="5"/>
      <c r="G122" s="3"/>
      <c r="H122" s="3"/>
      <c r="I122" s="3"/>
      <c r="J122" s="3"/>
      <c r="K122" s="3"/>
      <c r="L122" s="3"/>
      <c r="M122" s="3"/>
      <c r="N122" s="3"/>
    </row>
    <row r="123" spans="3:14">
      <c r="C123" s="3"/>
      <c r="D123" s="3"/>
      <c r="E123" s="3"/>
      <c r="F123" s="5"/>
      <c r="G123" s="3"/>
      <c r="H123" s="3"/>
      <c r="I123" s="3"/>
      <c r="J123" s="3"/>
      <c r="K123" s="3"/>
      <c r="L123" s="3"/>
      <c r="M123" s="3"/>
      <c r="N123" s="3"/>
    </row>
    <row r="124" spans="3:14">
      <c r="C124" s="3"/>
      <c r="D124" s="3"/>
      <c r="E124" s="3"/>
      <c r="F124" s="5"/>
      <c r="G124" s="3"/>
      <c r="H124" s="3"/>
      <c r="I124" s="3"/>
      <c r="J124" s="3"/>
      <c r="K124" s="3"/>
      <c r="L124" s="3"/>
      <c r="M124" s="3"/>
      <c r="N124" s="3"/>
    </row>
    <row r="125" spans="3:14">
      <c r="C125" s="3"/>
      <c r="D125" s="3"/>
      <c r="E125" s="3"/>
      <c r="F125" s="5"/>
      <c r="G125" s="3"/>
      <c r="H125" s="3"/>
      <c r="I125" s="3"/>
      <c r="J125" s="3"/>
      <c r="K125" s="3"/>
      <c r="L125" s="3"/>
      <c r="M125" s="3"/>
      <c r="N125" s="3"/>
    </row>
    <row r="126" spans="3:14">
      <c r="C126" s="3"/>
      <c r="D126" s="3"/>
      <c r="E126" s="3"/>
      <c r="F126" s="5"/>
      <c r="G126" s="3"/>
      <c r="H126" s="3"/>
      <c r="I126" s="3"/>
      <c r="J126" s="3"/>
      <c r="K126" s="3"/>
      <c r="L126" s="3"/>
      <c r="M126" s="3"/>
      <c r="N126" s="3"/>
    </row>
    <row r="127" spans="3:14">
      <c r="C127" s="3"/>
      <c r="D127" s="3"/>
      <c r="E127" s="3"/>
      <c r="F127" s="5"/>
      <c r="G127" s="3"/>
      <c r="H127" s="3"/>
      <c r="I127" s="3"/>
      <c r="J127" s="3"/>
      <c r="K127" s="3"/>
      <c r="L127" s="3"/>
      <c r="M127" s="3"/>
      <c r="N127" s="3"/>
    </row>
    <row r="128" spans="3:14">
      <c r="C128" s="3"/>
      <c r="D128" s="3"/>
      <c r="E128" s="3"/>
      <c r="F128" s="5"/>
      <c r="G128" s="3"/>
      <c r="H128" s="3"/>
      <c r="I128" s="3"/>
      <c r="J128" s="3"/>
      <c r="K128" s="3"/>
      <c r="L128" s="3"/>
      <c r="M128" s="3"/>
      <c r="N128" s="3"/>
    </row>
    <row r="129" spans="3:14">
      <c r="C129" s="3"/>
      <c r="D129" s="3"/>
      <c r="E129" s="3"/>
      <c r="F129" s="5"/>
      <c r="G129" s="3"/>
      <c r="H129" s="3"/>
      <c r="I129" s="3"/>
      <c r="J129" s="3"/>
      <c r="K129" s="3"/>
      <c r="L129" s="3"/>
      <c r="M129" s="3"/>
      <c r="N129" s="3"/>
    </row>
    <row r="130" spans="3:14">
      <c r="C130" s="3"/>
      <c r="D130" s="3"/>
      <c r="E130" s="3"/>
      <c r="F130" s="5"/>
      <c r="G130" s="3"/>
      <c r="H130" s="3"/>
      <c r="I130" s="3"/>
      <c r="J130" s="3"/>
      <c r="K130" s="3"/>
      <c r="L130" s="3"/>
      <c r="M130" s="3"/>
      <c r="N130" s="3"/>
    </row>
    <row r="131" spans="3:14">
      <c r="C131" s="3"/>
      <c r="D131" s="3"/>
      <c r="E131" s="3"/>
      <c r="F131" s="5"/>
      <c r="G131" s="3"/>
      <c r="H131" s="3"/>
      <c r="I131" s="3"/>
      <c r="J131" s="3"/>
      <c r="K131" s="3"/>
      <c r="L131" s="3"/>
      <c r="M131" s="3"/>
      <c r="N131" s="3"/>
    </row>
    <row r="132" spans="3:14">
      <c r="C132" s="3"/>
      <c r="D132" s="3"/>
      <c r="E132" s="3"/>
      <c r="F132" s="5"/>
      <c r="G132" s="3"/>
      <c r="H132" s="3"/>
      <c r="I132" s="3"/>
      <c r="J132" s="3"/>
      <c r="K132" s="3"/>
      <c r="L132" s="3"/>
      <c r="M132" s="3"/>
      <c r="N132" s="3"/>
    </row>
    <row r="133" spans="3:14">
      <c r="C133" s="3"/>
      <c r="D133" s="3"/>
      <c r="E133" s="3"/>
      <c r="F133" s="5"/>
      <c r="G133" s="3"/>
      <c r="H133" s="3"/>
      <c r="I133" s="3"/>
      <c r="J133" s="3"/>
      <c r="K133" s="3"/>
      <c r="L133" s="3"/>
      <c r="M133" s="3"/>
      <c r="N133" s="3"/>
    </row>
    <row r="134" spans="3:14">
      <c r="C134" s="3"/>
      <c r="D134" s="3"/>
      <c r="E134" s="3"/>
      <c r="F134" s="5"/>
      <c r="G134" s="3"/>
      <c r="H134" s="3"/>
      <c r="I134" s="3"/>
      <c r="J134" s="3"/>
      <c r="K134" s="3"/>
      <c r="L134" s="3"/>
      <c r="M134" s="3"/>
      <c r="N134" s="3"/>
    </row>
    <row r="135" spans="3:14">
      <c r="C135" s="3"/>
      <c r="D135" s="3"/>
      <c r="E135" s="3"/>
      <c r="F135" s="5"/>
      <c r="G135" s="3"/>
      <c r="H135" s="3"/>
      <c r="I135" s="3"/>
      <c r="J135" s="3"/>
      <c r="K135" s="3"/>
      <c r="L135" s="3"/>
      <c r="M135" s="3"/>
      <c r="N135" s="3"/>
    </row>
    <row r="136" spans="3:14">
      <c r="C136" s="3"/>
      <c r="D136" s="3"/>
      <c r="E136" s="3"/>
      <c r="F136" s="5"/>
      <c r="G136" s="3"/>
      <c r="H136" s="3"/>
      <c r="I136" s="3"/>
      <c r="J136" s="3"/>
      <c r="K136" s="3"/>
      <c r="L136" s="3"/>
      <c r="M136" s="3"/>
      <c r="N136" s="3"/>
    </row>
    <row r="137" spans="3:14">
      <c r="C137" s="3"/>
      <c r="D137" s="3"/>
      <c r="E137" s="3"/>
      <c r="F137" s="5"/>
      <c r="G137" s="3"/>
      <c r="H137" s="3"/>
      <c r="I137" s="3"/>
      <c r="J137" s="3"/>
      <c r="K137" s="3"/>
      <c r="L137" s="3"/>
      <c r="M137" s="3"/>
      <c r="N137" s="3"/>
    </row>
    <row r="138" spans="3:14">
      <c r="C138" s="3"/>
      <c r="D138" s="3"/>
      <c r="E138" s="3"/>
      <c r="F138" s="5"/>
      <c r="G138" s="3"/>
      <c r="H138" s="3"/>
      <c r="I138" s="3"/>
      <c r="J138" s="3"/>
      <c r="K138" s="3"/>
      <c r="L138" s="3"/>
      <c r="M138" s="3"/>
      <c r="N138" s="3"/>
    </row>
    <row r="139" spans="3:14">
      <c r="C139" s="3"/>
      <c r="D139" s="3"/>
      <c r="E139" s="3"/>
      <c r="F139" s="5"/>
      <c r="G139" s="3"/>
      <c r="H139" s="3"/>
      <c r="I139" s="3"/>
      <c r="J139" s="3"/>
      <c r="K139" s="3"/>
      <c r="L139" s="3"/>
      <c r="M139" s="3"/>
      <c r="N139" s="3"/>
    </row>
    <row r="140" spans="3:14">
      <c r="C140" s="3"/>
      <c r="D140" s="3"/>
      <c r="E140" s="3"/>
      <c r="F140" s="5"/>
      <c r="G140" s="3"/>
      <c r="H140" s="3"/>
      <c r="I140" s="3"/>
      <c r="J140" s="3"/>
      <c r="K140" s="3"/>
      <c r="L140" s="3"/>
      <c r="M140" s="3"/>
      <c r="N140" s="3"/>
    </row>
    <row r="141" spans="3:14">
      <c r="C141" s="3"/>
      <c r="D141" s="3"/>
      <c r="E141" s="3"/>
      <c r="F141" s="5"/>
      <c r="G141" s="3"/>
      <c r="H141" s="3"/>
      <c r="I141" s="3"/>
      <c r="J141" s="3"/>
      <c r="K141" s="3"/>
      <c r="L141" s="3"/>
      <c r="M141" s="3"/>
      <c r="N141" s="3"/>
    </row>
    <row r="142" spans="3:14">
      <c r="C142" s="3"/>
      <c r="D142" s="3"/>
      <c r="E142" s="3"/>
      <c r="F142" s="5"/>
      <c r="G142" s="3"/>
      <c r="H142" s="3"/>
      <c r="I142" s="3"/>
      <c r="J142" s="3"/>
      <c r="K142" s="3"/>
      <c r="L142" s="3"/>
      <c r="M142" s="3"/>
      <c r="N142" s="3"/>
    </row>
  </sheetData>
  <mergeCells count="2">
    <mergeCell ref="D1:N1"/>
    <mergeCell ref="G8:K8"/>
  </mergeCell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9B147C-E67C-448D-B471-87027C789800}">
  <sheetPr codeName="Sheet1"/>
  <dimension ref="A1:K113"/>
  <sheetViews>
    <sheetView zoomScale="85" zoomScaleNormal="85" workbookViewId="0">
      <pane ySplit="3" topLeftCell="F86" activePane="bottomLeft" state="frozen"/>
      <selection pane="bottomLeft" activeCell="F86" sqref="F86"/>
    </sheetView>
  </sheetViews>
  <sheetFormatPr defaultRowHeight="17.25"/>
  <cols>
    <col min="2" max="2" width="17.125" customWidth="1"/>
    <col min="3" max="3" width="10.75" customWidth="1"/>
    <col min="4" max="4" width="26.75" style="36" bestFit="1" customWidth="1"/>
    <col min="5" max="5" width="8.625" customWidth="1"/>
    <col min="6" max="6" width="16.25" customWidth="1"/>
    <col min="7" max="7" width="15.875" style="25" customWidth="1"/>
    <col min="8" max="8" width="25.125" customWidth="1"/>
    <col min="9" max="9" width="16.25" customWidth="1"/>
    <col min="10" max="10" width="16.875" style="25" customWidth="1"/>
    <col min="11" max="11" width="25.75" customWidth="1"/>
  </cols>
  <sheetData>
    <row r="1" spans="1:11">
      <c r="A1" s="49" t="s">
        <v>69</v>
      </c>
      <c r="B1" s="73" t="s">
        <v>70</v>
      </c>
      <c r="C1" s="50" t="s">
        <v>71</v>
      </c>
      <c r="D1" s="73" t="s">
        <v>72</v>
      </c>
      <c r="E1" s="73" t="s">
        <v>73</v>
      </c>
      <c r="F1" s="50" t="s">
        <v>74</v>
      </c>
      <c r="G1" s="51" t="s">
        <v>75</v>
      </c>
      <c r="H1" s="51" t="s">
        <v>76</v>
      </c>
      <c r="I1" s="50" t="s">
        <v>77</v>
      </c>
      <c r="J1" s="51" t="s">
        <v>78</v>
      </c>
      <c r="K1" s="52" t="s">
        <v>79</v>
      </c>
    </row>
    <row r="2" spans="1:11" ht="29.25" customHeight="1">
      <c r="A2" s="88" t="s">
        <v>80</v>
      </c>
      <c r="B2" s="89"/>
      <c r="C2" s="89"/>
      <c r="D2" s="89"/>
      <c r="E2" s="89"/>
      <c r="F2" s="89"/>
      <c r="G2" s="89"/>
      <c r="H2" s="89"/>
      <c r="I2" s="89"/>
      <c r="J2" s="89"/>
      <c r="K2" s="90"/>
    </row>
    <row r="3" spans="1:11">
      <c r="A3" s="53" t="s">
        <v>81</v>
      </c>
      <c r="B3" s="54" t="s">
        <v>82</v>
      </c>
      <c r="C3" s="54" t="s">
        <v>24</v>
      </c>
      <c r="D3" s="74" t="s">
        <v>26</v>
      </c>
      <c r="E3" s="54" t="s">
        <v>28</v>
      </c>
      <c r="F3" s="54" t="s">
        <v>83</v>
      </c>
      <c r="G3" s="55" t="s">
        <v>84</v>
      </c>
      <c r="H3" s="55" t="s">
        <v>85</v>
      </c>
      <c r="I3" s="54" t="s">
        <v>86</v>
      </c>
      <c r="J3" s="55" t="s">
        <v>87</v>
      </c>
      <c r="K3" s="56" t="s">
        <v>88</v>
      </c>
    </row>
    <row r="4" spans="1:11">
      <c r="A4">
        <v>2</v>
      </c>
      <c r="B4" t="s">
        <v>19</v>
      </c>
      <c r="C4" t="s">
        <v>25</v>
      </c>
      <c r="D4" s="36">
        <v>44006</v>
      </c>
      <c r="E4" t="s">
        <v>29</v>
      </c>
      <c r="F4" t="s">
        <v>31</v>
      </c>
      <c r="G4" s="25">
        <v>5462089463283</v>
      </c>
      <c r="H4" t="s">
        <v>34</v>
      </c>
      <c r="I4" t="s">
        <v>31</v>
      </c>
      <c r="J4" s="25">
        <v>7827516809246</v>
      </c>
      <c r="K4" t="s">
        <v>34</v>
      </c>
    </row>
    <row r="5" spans="1:11">
      <c r="A5">
        <v>3</v>
      </c>
      <c r="B5" t="s">
        <v>89</v>
      </c>
      <c r="C5" t="s">
        <v>90</v>
      </c>
      <c r="D5" s="36">
        <f ca="1">RANDBETWEEN(DATE(2020,1,1),DATE(2020,12,31))</f>
        <v>43904</v>
      </c>
      <c r="E5" t="s">
        <v>91</v>
      </c>
      <c r="F5" t="s">
        <v>92</v>
      </c>
      <c r="G5" s="25">
        <f t="shared" ref="G5:G68" ca="1" si="0">RANDBETWEEN(100000000000,9000000000000)</f>
        <v>7626176222003</v>
      </c>
      <c r="H5" t="s">
        <v>34</v>
      </c>
      <c r="I5" t="s">
        <v>92</v>
      </c>
      <c r="J5" s="25">
        <f t="shared" ref="J5:J67" ca="1" si="1">RANDBETWEEN(100000000000,9000000000000)</f>
        <v>5493810192373</v>
      </c>
      <c r="K5" t="s">
        <v>34</v>
      </c>
    </row>
    <row r="6" spans="1:11">
      <c r="A6">
        <v>4</v>
      </c>
      <c r="B6" t="s">
        <v>93</v>
      </c>
      <c r="C6" t="s">
        <v>94</v>
      </c>
      <c r="D6" s="36">
        <f t="shared" ref="D6:D67" ca="1" si="2">RANDBETWEEN(DATE(2020,1,1),DATE(2020,12,31))</f>
        <v>44021</v>
      </c>
      <c r="E6" t="s">
        <v>95</v>
      </c>
      <c r="F6" t="s">
        <v>96</v>
      </c>
      <c r="G6" s="25">
        <f t="shared" ca="1" si="0"/>
        <v>6472620209232</v>
      </c>
      <c r="H6" t="s">
        <v>34</v>
      </c>
      <c r="I6" t="s">
        <v>96</v>
      </c>
      <c r="J6" s="25">
        <f t="shared" ca="1" si="1"/>
        <v>3787304941109</v>
      </c>
      <c r="K6" t="s">
        <v>34</v>
      </c>
    </row>
    <row r="7" spans="1:11">
      <c r="A7">
        <v>5</v>
      </c>
      <c r="B7" t="s">
        <v>97</v>
      </c>
      <c r="C7" t="s">
        <v>98</v>
      </c>
      <c r="D7" s="36">
        <f t="shared" ca="1" si="2"/>
        <v>44148</v>
      </c>
      <c r="E7" t="s">
        <v>99</v>
      </c>
      <c r="F7" t="s">
        <v>100</v>
      </c>
      <c r="G7" s="25">
        <f t="shared" ca="1" si="0"/>
        <v>5431249178733</v>
      </c>
      <c r="H7" t="s">
        <v>34</v>
      </c>
      <c r="I7" t="s">
        <v>100</v>
      </c>
      <c r="J7" s="25">
        <f t="shared" ca="1" si="1"/>
        <v>6837399126823</v>
      </c>
      <c r="K7" t="s">
        <v>34</v>
      </c>
    </row>
    <row r="8" spans="1:11">
      <c r="A8">
        <v>6</v>
      </c>
      <c r="B8" t="s">
        <v>101</v>
      </c>
      <c r="C8" t="s">
        <v>25</v>
      </c>
      <c r="D8" s="36">
        <f t="shared" ca="1" si="2"/>
        <v>44078</v>
      </c>
      <c r="E8" t="s">
        <v>29</v>
      </c>
      <c r="F8" t="s">
        <v>102</v>
      </c>
      <c r="G8" s="25">
        <f t="shared" ca="1" si="0"/>
        <v>8353104648580</v>
      </c>
      <c r="H8" t="s">
        <v>34</v>
      </c>
      <c r="I8" t="s">
        <v>102</v>
      </c>
      <c r="J8" s="25">
        <f t="shared" ca="1" si="1"/>
        <v>3643714712955</v>
      </c>
      <c r="K8" t="s">
        <v>34</v>
      </c>
    </row>
    <row r="9" spans="1:11">
      <c r="A9">
        <v>7</v>
      </c>
      <c r="B9" t="s">
        <v>103</v>
      </c>
      <c r="C9" t="s">
        <v>104</v>
      </c>
      <c r="D9" s="36">
        <f t="shared" ca="1" si="2"/>
        <v>43935</v>
      </c>
      <c r="E9" t="s">
        <v>91</v>
      </c>
      <c r="F9" t="s">
        <v>105</v>
      </c>
      <c r="G9" s="25">
        <f t="shared" ca="1" si="0"/>
        <v>7105527566761</v>
      </c>
      <c r="H9" t="s">
        <v>34</v>
      </c>
      <c r="I9" t="s">
        <v>105</v>
      </c>
      <c r="J9" s="25">
        <f t="shared" ca="1" si="1"/>
        <v>5366516573991</v>
      </c>
      <c r="K9" t="s">
        <v>34</v>
      </c>
    </row>
    <row r="10" spans="1:11">
      <c r="A10">
        <v>8</v>
      </c>
      <c r="B10" t="s">
        <v>106</v>
      </c>
      <c r="C10" t="s">
        <v>90</v>
      </c>
      <c r="D10" s="36">
        <f t="shared" ca="1" si="2"/>
        <v>43880</v>
      </c>
      <c r="E10" t="s">
        <v>95</v>
      </c>
      <c r="F10" t="s">
        <v>107</v>
      </c>
      <c r="G10" s="25">
        <f t="shared" ca="1" si="0"/>
        <v>5509285268685</v>
      </c>
      <c r="H10" t="s">
        <v>34</v>
      </c>
      <c r="I10" t="s">
        <v>107</v>
      </c>
      <c r="J10" s="25">
        <f t="shared" ca="1" si="1"/>
        <v>2693936951609</v>
      </c>
      <c r="K10" t="s">
        <v>34</v>
      </c>
    </row>
    <row r="11" spans="1:11">
      <c r="A11">
        <v>9</v>
      </c>
      <c r="B11" t="s">
        <v>108</v>
      </c>
      <c r="C11" t="s">
        <v>94</v>
      </c>
      <c r="D11" s="36">
        <f t="shared" ca="1" si="2"/>
        <v>43879</v>
      </c>
      <c r="E11" t="s">
        <v>99</v>
      </c>
      <c r="F11" t="s">
        <v>31</v>
      </c>
      <c r="G11" s="25">
        <f t="shared" ca="1" si="0"/>
        <v>7039831029579</v>
      </c>
      <c r="H11" t="s">
        <v>34</v>
      </c>
      <c r="I11" t="s">
        <v>31</v>
      </c>
      <c r="J11" s="25">
        <f t="shared" ca="1" si="1"/>
        <v>579428058691</v>
      </c>
      <c r="K11" t="s">
        <v>34</v>
      </c>
    </row>
    <row r="12" spans="1:11">
      <c r="A12">
        <v>10</v>
      </c>
      <c r="B12" t="s">
        <v>109</v>
      </c>
      <c r="C12" t="s">
        <v>98</v>
      </c>
      <c r="D12" s="36">
        <f t="shared" ca="1" si="2"/>
        <v>43895</v>
      </c>
      <c r="E12" t="s">
        <v>29</v>
      </c>
      <c r="F12" t="s">
        <v>92</v>
      </c>
      <c r="G12" s="25">
        <f t="shared" ca="1" si="0"/>
        <v>8571716998423</v>
      </c>
      <c r="H12" t="s">
        <v>34</v>
      </c>
      <c r="I12" t="s">
        <v>92</v>
      </c>
      <c r="J12" s="25">
        <f t="shared" ca="1" si="1"/>
        <v>787181148951</v>
      </c>
      <c r="K12" t="s">
        <v>34</v>
      </c>
    </row>
    <row r="13" spans="1:11">
      <c r="A13">
        <v>11</v>
      </c>
      <c r="B13" t="s">
        <v>110</v>
      </c>
      <c r="C13" t="s">
        <v>25</v>
      </c>
      <c r="D13" s="36">
        <v>44532</v>
      </c>
      <c r="E13" t="s">
        <v>99</v>
      </c>
      <c r="F13" t="s">
        <v>31</v>
      </c>
      <c r="G13" s="25">
        <v>254726612495</v>
      </c>
      <c r="H13" t="s">
        <v>111</v>
      </c>
      <c r="I13" t="s">
        <v>112</v>
      </c>
      <c r="J13" s="25">
        <v>254726612495</v>
      </c>
      <c r="K13" t="s">
        <v>111</v>
      </c>
    </row>
    <row r="14" spans="1:11">
      <c r="A14">
        <v>12</v>
      </c>
      <c r="B14" t="s">
        <v>113</v>
      </c>
      <c r="C14" t="s">
        <v>104</v>
      </c>
      <c r="D14" s="36">
        <v>44136</v>
      </c>
      <c r="E14" t="s">
        <v>95</v>
      </c>
      <c r="F14" t="s">
        <v>100</v>
      </c>
      <c r="G14" s="25">
        <v>2865360883204</v>
      </c>
      <c r="H14" t="s">
        <v>34</v>
      </c>
      <c r="I14" t="s">
        <v>100</v>
      </c>
      <c r="J14" s="25">
        <v>1204501502501</v>
      </c>
      <c r="K14" t="s">
        <v>34</v>
      </c>
    </row>
    <row r="15" spans="1:11">
      <c r="A15">
        <v>13</v>
      </c>
      <c r="B15" t="s">
        <v>114</v>
      </c>
      <c r="C15" t="s">
        <v>90</v>
      </c>
      <c r="D15" s="36">
        <f t="shared" ca="1" si="2"/>
        <v>43961</v>
      </c>
      <c r="E15" t="s">
        <v>99</v>
      </c>
      <c r="F15" t="s">
        <v>102</v>
      </c>
      <c r="G15" s="25">
        <f t="shared" ca="1" si="0"/>
        <v>770655808781</v>
      </c>
      <c r="H15" t="s">
        <v>34</v>
      </c>
      <c r="I15" t="s">
        <v>102</v>
      </c>
      <c r="J15" s="25">
        <f t="shared" ca="1" si="1"/>
        <v>4071494629065</v>
      </c>
      <c r="K15" t="s">
        <v>34</v>
      </c>
    </row>
    <row r="16" spans="1:11">
      <c r="A16">
        <v>14</v>
      </c>
      <c r="B16" t="s">
        <v>115</v>
      </c>
      <c r="C16" t="s">
        <v>94</v>
      </c>
      <c r="D16" s="36">
        <f t="shared" ca="1" si="2"/>
        <v>43964</v>
      </c>
      <c r="E16" t="s">
        <v>29</v>
      </c>
      <c r="F16" t="s">
        <v>105</v>
      </c>
      <c r="G16" s="25">
        <f t="shared" ca="1" si="0"/>
        <v>4152468199002</v>
      </c>
      <c r="H16" t="s">
        <v>34</v>
      </c>
      <c r="I16" t="s">
        <v>105</v>
      </c>
      <c r="J16" s="25">
        <f t="shared" ca="1" si="1"/>
        <v>7409694453482</v>
      </c>
      <c r="K16" t="s">
        <v>34</v>
      </c>
    </row>
    <row r="17" spans="1:11">
      <c r="A17">
        <v>15</v>
      </c>
      <c r="B17" t="s">
        <v>116</v>
      </c>
      <c r="C17" t="s">
        <v>98</v>
      </c>
      <c r="D17" s="36">
        <f t="shared" ca="1" si="2"/>
        <v>44067</v>
      </c>
      <c r="E17" t="s">
        <v>91</v>
      </c>
      <c r="F17" t="s">
        <v>107</v>
      </c>
      <c r="G17" s="25">
        <f t="shared" ca="1" si="0"/>
        <v>5193011442584</v>
      </c>
      <c r="H17" t="s">
        <v>34</v>
      </c>
      <c r="I17" t="s">
        <v>107</v>
      </c>
      <c r="J17" s="25">
        <f t="shared" ca="1" si="1"/>
        <v>5197733247881</v>
      </c>
      <c r="K17" t="s">
        <v>34</v>
      </c>
    </row>
    <row r="18" spans="1:11">
      <c r="A18">
        <v>16</v>
      </c>
      <c r="B18" t="s">
        <v>117</v>
      </c>
      <c r="C18" t="s">
        <v>25</v>
      </c>
      <c r="D18" s="36">
        <f t="shared" ca="1" si="2"/>
        <v>43907</v>
      </c>
      <c r="E18" t="s">
        <v>95</v>
      </c>
      <c r="F18" t="s">
        <v>31</v>
      </c>
      <c r="G18" s="25">
        <f t="shared" ca="1" si="0"/>
        <v>6815839197364</v>
      </c>
      <c r="H18" t="s">
        <v>34</v>
      </c>
      <c r="I18" t="s">
        <v>31</v>
      </c>
      <c r="J18" s="25">
        <f t="shared" ca="1" si="1"/>
        <v>1150495167948</v>
      </c>
      <c r="K18" t="s">
        <v>34</v>
      </c>
    </row>
    <row r="19" spans="1:11">
      <c r="A19">
        <v>17</v>
      </c>
      <c r="B19" t="s">
        <v>118</v>
      </c>
      <c r="C19" t="s">
        <v>104</v>
      </c>
      <c r="D19" s="36">
        <f t="shared" ca="1" si="2"/>
        <v>43994</v>
      </c>
      <c r="E19" t="s">
        <v>99</v>
      </c>
      <c r="F19" t="s">
        <v>92</v>
      </c>
      <c r="G19" s="25">
        <f t="shared" ca="1" si="0"/>
        <v>3158012596730</v>
      </c>
      <c r="H19" t="s">
        <v>34</v>
      </c>
      <c r="I19" t="s">
        <v>92</v>
      </c>
      <c r="J19" s="25">
        <f t="shared" ca="1" si="1"/>
        <v>2892723572662</v>
      </c>
      <c r="K19" t="s">
        <v>34</v>
      </c>
    </row>
    <row r="20" spans="1:11">
      <c r="A20">
        <v>18</v>
      </c>
      <c r="B20" t="s">
        <v>119</v>
      </c>
      <c r="C20" t="s">
        <v>90</v>
      </c>
      <c r="D20" s="36">
        <f t="shared" ca="1" si="2"/>
        <v>43959</v>
      </c>
      <c r="E20" t="s">
        <v>29</v>
      </c>
      <c r="F20" t="s">
        <v>96</v>
      </c>
      <c r="G20" s="25">
        <f t="shared" ca="1" si="0"/>
        <v>6463770121900</v>
      </c>
      <c r="H20" t="s">
        <v>34</v>
      </c>
      <c r="I20" t="s">
        <v>96</v>
      </c>
      <c r="J20" s="25">
        <f t="shared" ca="1" si="1"/>
        <v>5531150887024</v>
      </c>
      <c r="K20" t="s">
        <v>34</v>
      </c>
    </row>
    <row r="21" spans="1:11">
      <c r="A21">
        <v>19</v>
      </c>
      <c r="B21" t="s">
        <v>120</v>
      </c>
      <c r="C21" t="s">
        <v>94</v>
      </c>
      <c r="D21" s="36">
        <f t="shared" ca="1" si="2"/>
        <v>44046</v>
      </c>
      <c r="E21" t="s">
        <v>91</v>
      </c>
      <c r="F21" t="s">
        <v>100</v>
      </c>
      <c r="G21" s="25">
        <f t="shared" ca="1" si="0"/>
        <v>2854099946580</v>
      </c>
      <c r="H21" t="s">
        <v>34</v>
      </c>
      <c r="I21" t="s">
        <v>100</v>
      </c>
      <c r="J21" s="25">
        <f t="shared" ca="1" si="1"/>
        <v>3123989233596</v>
      </c>
      <c r="K21" t="s">
        <v>34</v>
      </c>
    </row>
    <row r="22" spans="1:11">
      <c r="A22">
        <v>20</v>
      </c>
      <c r="B22" t="s">
        <v>121</v>
      </c>
      <c r="C22" t="s">
        <v>98</v>
      </c>
      <c r="D22" s="36">
        <f t="shared" ca="1" si="2"/>
        <v>43893</v>
      </c>
      <c r="E22" t="s">
        <v>95</v>
      </c>
      <c r="F22" t="s">
        <v>102</v>
      </c>
      <c r="G22" s="25">
        <f t="shared" ca="1" si="0"/>
        <v>6683627112458</v>
      </c>
      <c r="H22" t="s">
        <v>34</v>
      </c>
      <c r="I22" t="s">
        <v>102</v>
      </c>
      <c r="J22" s="25">
        <f t="shared" ca="1" si="1"/>
        <v>6333087900887</v>
      </c>
      <c r="K22" t="s">
        <v>34</v>
      </c>
    </row>
    <row r="23" spans="1:11">
      <c r="A23">
        <v>21</v>
      </c>
      <c r="B23" t="s">
        <v>122</v>
      </c>
      <c r="C23" t="s">
        <v>25</v>
      </c>
      <c r="D23" s="36">
        <f t="shared" ca="1" si="2"/>
        <v>44174</v>
      </c>
      <c r="E23" t="s">
        <v>99</v>
      </c>
      <c r="F23" t="s">
        <v>105</v>
      </c>
      <c r="G23" s="25">
        <f t="shared" ca="1" si="0"/>
        <v>2665168594276</v>
      </c>
      <c r="H23" t="s">
        <v>34</v>
      </c>
      <c r="I23" t="s">
        <v>105</v>
      </c>
      <c r="J23" s="25">
        <f t="shared" ca="1" si="1"/>
        <v>4165386659238</v>
      </c>
      <c r="K23" t="s">
        <v>34</v>
      </c>
    </row>
    <row r="24" spans="1:11">
      <c r="A24">
        <v>22</v>
      </c>
      <c r="B24" t="s">
        <v>123</v>
      </c>
      <c r="C24" t="s">
        <v>104</v>
      </c>
      <c r="D24" s="36">
        <f t="shared" ca="1" si="2"/>
        <v>44054</v>
      </c>
      <c r="E24" t="s">
        <v>29</v>
      </c>
      <c r="F24" t="s">
        <v>107</v>
      </c>
      <c r="G24" s="25">
        <f t="shared" ca="1" si="0"/>
        <v>5425855299153</v>
      </c>
      <c r="H24" t="s">
        <v>34</v>
      </c>
      <c r="I24" t="s">
        <v>107</v>
      </c>
      <c r="J24" s="25">
        <f t="shared" ca="1" si="1"/>
        <v>145660311658</v>
      </c>
      <c r="K24" t="s">
        <v>34</v>
      </c>
    </row>
    <row r="25" spans="1:11">
      <c r="A25">
        <v>23</v>
      </c>
      <c r="B25" t="s">
        <v>124</v>
      </c>
      <c r="C25" t="s">
        <v>90</v>
      </c>
      <c r="D25" s="36">
        <f t="shared" ca="1" si="2"/>
        <v>43897</v>
      </c>
      <c r="E25" t="s">
        <v>91</v>
      </c>
      <c r="F25" t="s">
        <v>31</v>
      </c>
      <c r="G25" s="25">
        <f t="shared" ca="1" si="0"/>
        <v>4681964790789</v>
      </c>
      <c r="H25" t="s">
        <v>34</v>
      </c>
      <c r="I25" t="s">
        <v>31</v>
      </c>
      <c r="J25" s="25">
        <f t="shared" ca="1" si="1"/>
        <v>3801425250728</v>
      </c>
      <c r="K25" t="s">
        <v>34</v>
      </c>
    </row>
    <row r="26" spans="1:11">
      <c r="A26">
        <v>24</v>
      </c>
      <c r="B26" t="s">
        <v>125</v>
      </c>
      <c r="C26" t="s">
        <v>94</v>
      </c>
      <c r="D26" s="36">
        <f t="shared" ca="1" si="2"/>
        <v>44169</v>
      </c>
      <c r="E26" t="s">
        <v>95</v>
      </c>
      <c r="F26" t="s">
        <v>92</v>
      </c>
      <c r="G26" s="25">
        <f t="shared" ca="1" si="0"/>
        <v>6850744827782</v>
      </c>
      <c r="H26" t="s">
        <v>34</v>
      </c>
      <c r="I26" t="s">
        <v>92</v>
      </c>
      <c r="J26" s="25">
        <f t="shared" ca="1" si="1"/>
        <v>5830942276656</v>
      </c>
      <c r="K26" t="s">
        <v>34</v>
      </c>
    </row>
    <row r="27" spans="1:11">
      <c r="A27">
        <v>25</v>
      </c>
      <c r="B27" t="s">
        <v>126</v>
      </c>
      <c r="C27" t="s">
        <v>98</v>
      </c>
      <c r="D27" s="36">
        <f t="shared" ca="1" si="2"/>
        <v>43854</v>
      </c>
      <c r="E27" t="s">
        <v>99</v>
      </c>
      <c r="F27" t="s">
        <v>96</v>
      </c>
      <c r="G27" s="25">
        <f t="shared" ca="1" si="0"/>
        <v>6373200414255</v>
      </c>
      <c r="H27" t="s">
        <v>34</v>
      </c>
      <c r="I27" t="s">
        <v>96</v>
      </c>
      <c r="J27" s="25">
        <f t="shared" ca="1" si="1"/>
        <v>4352294008287</v>
      </c>
      <c r="K27" t="s">
        <v>34</v>
      </c>
    </row>
    <row r="28" spans="1:11">
      <c r="A28">
        <v>26</v>
      </c>
      <c r="B28" t="s">
        <v>127</v>
      </c>
      <c r="C28" t="s">
        <v>25</v>
      </c>
      <c r="D28" s="36">
        <f t="shared" ca="1" si="2"/>
        <v>44050</v>
      </c>
      <c r="E28" t="s">
        <v>29</v>
      </c>
      <c r="F28" t="s">
        <v>100</v>
      </c>
      <c r="G28" s="25">
        <f t="shared" ca="1" si="0"/>
        <v>3162439614176</v>
      </c>
      <c r="H28" t="s">
        <v>34</v>
      </c>
      <c r="I28" t="s">
        <v>100</v>
      </c>
      <c r="J28" s="25">
        <f t="shared" ca="1" si="1"/>
        <v>7450506585141</v>
      </c>
      <c r="K28" t="s">
        <v>34</v>
      </c>
    </row>
    <row r="29" spans="1:11">
      <c r="A29">
        <v>27</v>
      </c>
      <c r="B29" t="s">
        <v>128</v>
      </c>
      <c r="C29" t="s">
        <v>104</v>
      </c>
      <c r="D29" s="36">
        <f t="shared" ca="1" si="2"/>
        <v>44185</v>
      </c>
      <c r="E29" t="s">
        <v>91</v>
      </c>
      <c r="F29" t="s">
        <v>102</v>
      </c>
      <c r="G29" s="25">
        <f t="shared" ca="1" si="0"/>
        <v>4444320696498</v>
      </c>
      <c r="H29" t="s">
        <v>34</v>
      </c>
      <c r="I29" t="s">
        <v>102</v>
      </c>
      <c r="J29" s="25">
        <f t="shared" ca="1" si="1"/>
        <v>7789256629125</v>
      </c>
      <c r="K29" t="s">
        <v>34</v>
      </c>
    </row>
    <row r="30" spans="1:11">
      <c r="A30">
        <v>28</v>
      </c>
      <c r="B30" t="s">
        <v>129</v>
      </c>
      <c r="C30" t="s">
        <v>90</v>
      </c>
      <c r="D30" s="36">
        <f t="shared" ca="1" si="2"/>
        <v>44179</v>
      </c>
      <c r="E30" t="s">
        <v>95</v>
      </c>
      <c r="F30" t="s">
        <v>105</v>
      </c>
      <c r="G30" s="25">
        <f t="shared" ca="1" si="0"/>
        <v>6593270585513</v>
      </c>
      <c r="H30" t="s">
        <v>34</v>
      </c>
      <c r="I30" t="s">
        <v>105</v>
      </c>
      <c r="J30" s="25">
        <f t="shared" ca="1" si="1"/>
        <v>7571987074173</v>
      </c>
      <c r="K30" t="s">
        <v>34</v>
      </c>
    </row>
    <row r="31" spans="1:11">
      <c r="A31">
        <v>29</v>
      </c>
      <c r="B31" t="s">
        <v>130</v>
      </c>
      <c r="C31" t="s">
        <v>94</v>
      </c>
      <c r="D31" s="36">
        <f t="shared" ca="1" si="2"/>
        <v>44127</v>
      </c>
      <c r="E31" t="s">
        <v>99</v>
      </c>
      <c r="F31" t="s">
        <v>107</v>
      </c>
      <c r="G31" s="25">
        <f t="shared" ca="1" si="0"/>
        <v>8022456186829</v>
      </c>
      <c r="H31" t="s">
        <v>34</v>
      </c>
      <c r="I31" t="s">
        <v>107</v>
      </c>
      <c r="J31" s="25">
        <f t="shared" ca="1" si="1"/>
        <v>3145167809128</v>
      </c>
      <c r="K31" t="s">
        <v>34</v>
      </c>
    </row>
    <row r="32" spans="1:11">
      <c r="A32">
        <v>30</v>
      </c>
      <c r="B32" t="s">
        <v>131</v>
      </c>
      <c r="C32" t="s">
        <v>98</v>
      </c>
      <c r="D32" s="36">
        <f t="shared" ca="1" si="2"/>
        <v>43989</v>
      </c>
      <c r="E32" t="s">
        <v>29</v>
      </c>
      <c r="F32" t="s">
        <v>31</v>
      </c>
      <c r="G32" s="25">
        <f t="shared" ca="1" si="0"/>
        <v>8881893896092</v>
      </c>
      <c r="H32" t="s">
        <v>34</v>
      </c>
      <c r="I32" t="s">
        <v>31</v>
      </c>
      <c r="J32" s="25">
        <f t="shared" ca="1" si="1"/>
        <v>5546476057330</v>
      </c>
      <c r="K32" t="s">
        <v>34</v>
      </c>
    </row>
    <row r="33" spans="1:11">
      <c r="A33">
        <v>31</v>
      </c>
      <c r="B33" t="s">
        <v>132</v>
      </c>
      <c r="C33" t="s">
        <v>25</v>
      </c>
      <c r="D33" s="36">
        <f t="shared" ca="1" si="2"/>
        <v>43920</v>
      </c>
      <c r="E33" t="s">
        <v>91</v>
      </c>
      <c r="F33" t="s">
        <v>92</v>
      </c>
      <c r="G33" s="25">
        <f t="shared" ca="1" si="0"/>
        <v>317646568800</v>
      </c>
      <c r="H33" t="s">
        <v>34</v>
      </c>
      <c r="I33" t="s">
        <v>92</v>
      </c>
      <c r="J33" s="25">
        <f t="shared" ca="1" si="1"/>
        <v>8666772745853</v>
      </c>
      <c r="K33" t="s">
        <v>34</v>
      </c>
    </row>
    <row r="34" spans="1:11">
      <c r="A34">
        <v>32</v>
      </c>
      <c r="B34" t="s">
        <v>124</v>
      </c>
      <c r="C34" t="s">
        <v>104</v>
      </c>
      <c r="D34" s="36">
        <f t="shared" ca="1" si="2"/>
        <v>44179</v>
      </c>
      <c r="E34" t="s">
        <v>95</v>
      </c>
      <c r="F34" t="s">
        <v>96</v>
      </c>
      <c r="G34" s="25">
        <f t="shared" ca="1" si="0"/>
        <v>2902456336202</v>
      </c>
      <c r="H34" t="s">
        <v>34</v>
      </c>
      <c r="I34" t="s">
        <v>96</v>
      </c>
      <c r="J34" s="25">
        <f t="shared" ca="1" si="1"/>
        <v>6406644244341</v>
      </c>
      <c r="K34" t="s">
        <v>34</v>
      </c>
    </row>
    <row r="35" spans="1:11">
      <c r="A35">
        <v>33</v>
      </c>
      <c r="B35" t="s">
        <v>133</v>
      </c>
      <c r="C35" t="s">
        <v>90</v>
      </c>
      <c r="D35" s="36">
        <f t="shared" ca="1" si="2"/>
        <v>44101</v>
      </c>
      <c r="E35" t="s">
        <v>99</v>
      </c>
      <c r="F35" t="s">
        <v>100</v>
      </c>
      <c r="G35" s="25">
        <f t="shared" ca="1" si="0"/>
        <v>4036045319370</v>
      </c>
      <c r="H35" t="s">
        <v>34</v>
      </c>
      <c r="I35" t="s">
        <v>100</v>
      </c>
      <c r="J35" s="25">
        <f t="shared" ca="1" si="1"/>
        <v>983650661125</v>
      </c>
      <c r="K35" t="s">
        <v>34</v>
      </c>
    </row>
    <row r="36" spans="1:11">
      <c r="A36">
        <v>34</v>
      </c>
      <c r="B36" t="s">
        <v>134</v>
      </c>
      <c r="C36" t="s">
        <v>94</v>
      </c>
      <c r="D36" s="36">
        <f t="shared" ca="1" si="2"/>
        <v>43942</v>
      </c>
      <c r="E36" t="s">
        <v>29</v>
      </c>
      <c r="F36" t="s">
        <v>102</v>
      </c>
      <c r="G36" s="25">
        <f t="shared" ca="1" si="0"/>
        <v>3649949395501</v>
      </c>
      <c r="H36" t="s">
        <v>34</v>
      </c>
      <c r="I36" t="s">
        <v>102</v>
      </c>
      <c r="J36" s="25">
        <f t="shared" ca="1" si="1"/>
        <v>7451534981886</v>
      </c>
      <c r="K36" t="s">
        <v>34</v>
      </c>
    </row>
    <row r="37" spans="1:11">
      <c r="A37">
        <v>35</v>
      </c>
      <c r="B37" t="s">
        <v>135</v>
      </c>
      <c r="C37" t="s">
        <v>98</v>
      </c>
      <c r="D37" s="36">
        <f t="shared" ca="1" si="2"/>
        <v>44086</v>
      </c>
      <c r="E37" t="s">
        <v>91</v>
      </c>
      <c r="F37" t="s">
        <v>105</v>
      </c>
      <c r="G37" s="25">
        <f t="shared" ca="1" si="0"/>
        <v>1418233635372</v>
      </c>
      <c r="H37" t="s">
        <v>34</v>
      </c>
      <c r="I37" t="s">
        <v>105</v>
      </c>
      <c r="J37" s="25">
        <f t="shared" ca="1" si="1"/>
        <v>3857558732268</v>
      </c>
      <c r="K37" t="s">
        <v>34</v>
      </c>
    </row>
    <row r="38" spans="1:11">
      <c r="A38">
        <v>36</v>
      </c>
      <c r="B38" t="s">
        <v>136</v>
      </c>
      <c r="C38" t="s">
        <v>25</v>
      </c>
      <c r="D38" s="36">
        <f t="shared" ca="1" si="2"/>
        <v>44181</v>
      </c>
      <c r="E38" t="s">
        <v>95</v>
      </c>
      <c r="F38" t="s">
        <v>107</v>
      </c>
      <c r="G38" s="25">
        <f t="shared" ca="1" si="0"/>
        <v>3980160841822</v>
      </c>
      <c r="H38" t="s">
        <v>34</v>
      </c>
      <c r="I38" t="s">
        <v>107</v>
      </c>
      <c r="J38" s="25">
        <f t="shared" ca="1" si="1"/>
        <v>3336979690383</v>
      </c>
      <c r="K38" t="s">
        <v>34</v>
      </c>
    </row>
    <row r="39" spans="1:11">
      <c r="A39">
        <v>37</v>
      </c>
      <c r="B39" t="s">
        <v>137</v>
      </c>
      <c r="C39" t="s">
        <v>104</v>
      </c>
      <c r="D39" s="36">
        <f t="shared" ca="1" si="2"/>
        <v>44105</v>
      </c>
      <c r="E39" t="s">
        <v>99</v>
      </c>
      <c r="F39" t="s">
        <v>31</v>
      </c>
      <c r="G39" s="25">
        <f t="shared" ca="1" si="0"/>
        <v>2111902502612</v>
      </c>
      <c r="H39" t="s">
        <v>34</v>
      </c>
      <c r="I39" t="s">
        <v>31</v>
      </c>
      <c r="J39" s="25">
        <f t="shared" ca="1" si="1"/>
        <v>8897687213449</v>
      </c>
      <c r="K39" t="s">
        <v>34</v>
      </c>
    </row>
    <row r="40" spans="1:11">
      <c r="A40">
        <v>38</v>
      </c>
      <c r="B40" t="s">
        <v>138</v>
      </c>
      <c r="C40" t="s">
        <v>90</v>
      </c>
      <c r="D40" s="36">
        <f t="shared" ca="1" si="2"/>
        <v>43888</v>
      </c>
      <c r="E40" t="s">
        <v>29</v>
      </c>
      <c r="F40" t="s">
        <v>92</v>
      </c>
      <c r="G40" s="25">
        <f t="shared" ca="1" si="0"/>
        <v>7743975174379</v>
      </c>
      <c r="H40" t="s">
        <v>34</v>
      </c>
      <c r="I40" t="s">
        <v>92</v>
      </c>
      <c r="J40" s="25">
        <f t="shared" ca="1" si="1"/>
        <v>5845733144421</v>
      </c>
      <c r="K40" t="s">
        <v>34</v>
      </c>
    </row>
    <row r="41" spans="1:11">
      <c r="A41">
        <v>39</v>
      </c>
      <c r="B41" t="s">
        <v>139</v>
      </c>
      <c r="C41" t="s">
        <v>94</v>
      </c>
      <c r="D41" s="36">
        <f t="shared" ca="1" si="2"/>
        <v>44110</v>
      </c>
      <c r="E41" t="s">
        <v>91</v>
      </c>
      <c r="F41" t="s">
        <v>96</v>
      </c>
      <c r="G41" s="25">
        <f t="shared" ca="1" si="0"/>
        <v>7528056998109</v>
      </c>
      <c r="H41" t="s">
        <v>34</v>
      </c>
      <c r="I41" t="s">
        <v>96</v>
      </c>
      <c r="J41" s="25">
        <f t="shared" ca="1" si="1"/>
        <v>7295389854337</v>
      </c>
      <c r="K41" t="s">
        <v>34</v>
      </c>
    </row>
    <row r="42" spans="1:11">
      <c r="A42">
        <v>40</v>
      </c>
      <c r="B42" t="s">
        <v>140</v>
      </c>
      <c r="C42" t="s">
        <v>98</v>
      </c>
      <c r="D42" s="36">
        <f t="shared" ca="1" si="2"/>
        <v>43907</v>
      </c>
      <c r="E42" t="s">
        <v>95</v>
      </c>
      <c r="F42" t="s">
        <v>100</v>
      </c>
      <c r="G42" s="25">
        <f t="shared" ca="1" si="0"/>
        <v>8112541137726</v>
      </c>
      <c r="H42" t="s">
        <v>34</v>
      </c>
      <c r="I42" t="s">
        <v>100</v>
      </c>
      <c r="J42" s="25">
        <f t="shared" ca="1" si="1"/>
        <v>6606007577659</v>
      </c>
      <c r="K42" t="s">
        <v>34</v>
      </c>
    </row>
    <row r="43" spans="1:11">
      <c r="A43">
        <v>41</v>
      </c>
      <c r="B43" t="s">
        <v>141</v>
      </c>
      <c r="C43" t="s">
        <v>25</v>
      </c>
      <c r="D43" s="36">
        <f t="shared" ca="1" si="2"/>
        <v>44176</v>
      </c>
      <c r="E43" t="s">
        <v>99</v>
      </c>
      <c r="F43" t="s">
        <v>102</v>
      </c>
      <c r="G43" s="25">
        <f t="shared" ca="1" si="0"/>
        <v>3791110150159</v>
      </c>
      <c r="H43" t="s">
        <v>34</v>
      </c>
      <c r="I43" t="s">
        <v>102</v>
      </c>
      <c r="J43" s="25">
        <f t="shared" ca="1" si="1"/>
        <v>5922950872722</v>
      </c>
      <c r="K43" t="s">
        <v>34</v>
      </c>
    </row>
    <row r="44" spans="1:11">
      <c r="A44">
        <v>42</v>
      </c>
      <c r="B44" t="s">
        <v>142</v>
      </c>
      <c r="C44" t="s">
        <v>104</v>
      </c>
      <c r="D44" s="36">
        <f t="shared" ca="1" si="2"/>
        <v>44075</v>
      </c>
      <c r="E44" t="s">
        <v>29</v>
      </c>
      <c r="F44" t="s">
        <v>105</v>
      </c>
      <c r="G44" s="25">
        <f t="shared" ca="1" si="0"/>
        <v>1922984345410</v>
      </c>
      <c r="H44" t="s">
        <v>34</v>
      </c>
      <c r="I44" t="s">
        <v>105</v>
      </c>
      <c r="J44" s="25">
        <f t="shared" ca="1" si="1"/>
        <v>8916852268690</v>
      </c>
      <c r="K44" t="s">
        <v>34</v>
      </c>
    </row>
    <row r="45" spans="1:11">
      <c r="A45">
        <v>43</v>
      </c>
      <c r="B45" t="s">
        <v>143</v>
      </c>
      <c r="C45" t="s">
        <v>90</v>
      </c>
      <c r="D45" s="36">
        <f t="shared" ca="1" si="2"/>
        <v>43905</v>
      </c>
      <c r="E45" t="s">
        <v>91</v>
      </c>
      <c r="F45" t="s">
        <v>107</v>
      </c>
      <c r="G45" s="25">
        <f t="shared" ca="1" si="0"/>
        <v>3009005426805</v>
      </c>
      <c r="H45" t="s">
        <v>34</v>
      </c>
      <c r="I45" t="s">
        <v>107</v>
      </c>
      <c r="J45" s="25">
        <f t="shared" ca="1" si="1"/>
        <v>6819256701731</v>
      </c>
      <c r="K45" t="s">
        <v>34</v>
      </c>
    </row>
    <row r="46" spans="1:11">
      <c r="A46">
        <v>44</v>
      </c>
      <c r="B46" t="s">
        <v>144</v>
      </c>
      <c r="C46" t="s">
        <v>94</v>
      </c>
      <c r="D46" s="36">
        <f t="shared" ca="1" si="2"/>
        <v>43960</v>
      </c>
      <c r="E46" t="s">
        <v>95</v>
      </c>
      <c r="F46" t="s">
        <v>31</v>
      </c>
      <c r="G46" s="25">
        <f t="shared" ca="1" si="0"/>
        <v>6122056069452</v>
      </c>
      <c r="H46" t="s">
        <v>34</v>
      </c>
      <c r="I46" t="s">
        <v>31</v>
      </c>
      <c r="J46" s="25">
        <f t="shared" ca="1" si="1"/>
        <v>7405121329401</v>
      </c>
      <c r="K46" t="s">
        <v>34</v>
      </c>
    </row>
    <row r="47" spans="1:11">
      <c r="A47">
        <v>45</v>
      </c>
      <c r="B47" t="s">
        <v>145</v>
      </c>
      <c r="C47" t="s">
        <v>98</v>
      </c>
      <c r="D47" s="36">
        <f t="shared" ca="1" si="2"/>
        <v>44111</v>
      </c>
      <c r="E47" t="s">
        <v>99</v>
      </c>
      <c r="F47" t="s">
        <v>92</v>
      </c>
      <c r="G47" s="25">
        <f t="shared" ca="1" si="0"/>
        <v>7104496389064</v>
      </c>
      <c r="H47" t="s">
        <v>34</v>
      </c>
      <c r="I47" t="s">
        <v>92</v>
      </c>
      <c r="J47" s="25">
        <f t="shared" ca="1" si="1"/>
        <v>255668355368</v>
      </c>
      <c r="K47" t="s">
        <v>34</v>
      </c>
    </row>
    <row r="48" spans="1:11">
      <c r="A48">
        <v>46</v>
      </c>
      <c r="B48" t="s">
        <v>146</v>
      </c>
      <c r="C48" t="s">
        <v>25</v>
      </c>
      <c r="D48" s="36">
        <f t="shared" ca="1" si="2"/>
        <v>44195</v>
      </c>
      <c r="E48" t="s">
        <v>29</v>
      </c>
      <c r="F48" t="s">
        <v>96</v>
      </c>
      <c r="G48" s="25">
        <f t="shared" ca="1" si="0"/>
        <v>4741984162447</v>
      </c>
      <c r="H48" t="s">
        <v>34</v>
      </c>
      <c r="I48" t="s">
        <v>96</v>
      </c>
      <c r="J48" s="25">
        <f t="shared" ca="1" si="1"/>
        <v>1365919087051</v>
      </c>
      <c r="K48" t="s">
        <v>34</v>
      </c>
    </row>
    <row r="49" spans="1:11">
      <c r="A49">
        <v>47</v>
      </c>
      <c r="B49" t="s">
        <v>147</v>
      </c>
      <c r="C49" t="s">
        <v>104</v>
      </c>
      <c r="D49" s="36">
        <f t="shared" ca="1" si="2"/>
        <v>43891</v>
      </c>
      <c r="E49" t="s">
        <v>91</v>
      </c>
      <c r="F49" t="s">
        <v>100</v>
      </c>
      <c r="G49" s="25">
        <f t="shared" ca="1" si="0"/>
        <v>6855503345796</v>
      </c>
      <c r="H49" t="s">
        <v>34</v>
      </c>
      <c r="I49" t="s">
        <v>100</v>
      </c>
      <c r="J49" s="25">
        <f t="shared" ca="1" si="1"/>
        <v>4180950984791</v>
      </c>
      <c r="K49" t="s">
        <v>34</v>
      </c>
    </row>
    <row r="50" spans="1:11">
      <c r="A50">
        <v>48</v>
      </c>
      <c r="B50" t="s">
        <v>148</v>
      </c>
      <c r="C50" t="s">
        <v>90</v>
      </c>
      <c r="D50" s="36">
        <f t="shared" ca="1" si="2"/>
        <v>44108</v>
      </c>
      <c r="E50" t="s">
        <v>95</v>
      </c>
      <c r="F50" t="s">
        <v>102</v>
      </c>
      <c r="G50" s="25">
        <f t="shared" ca="1" si="0"/>
        <v>3875751670054</v>
      </c>
      <c r="H50" t="s">
        <v>34</v>
      </c>
      <c r="I50" t="s">
        <v>102</v>
      </c>
      <c r="J50" s="25">
        <f t="shared" ca="1" si="1"/>
        <v>6893737875096</v>
      </c>
      <c r="K50" t="s">
        <v>34</v>
      </c>
    </row>
    <row r="51" spans="1:11">
      <c r="A51">
        <v>49</v>
      </c>
      <c r="B51" t="s">
        <v>149</v>
      </c>
      <c r="C51" t="s">
        <v>94</v>
      </c>
      <c r="D51" s="36">
        <f t="shared" ca="1" si="2"/>
        <v>43839</v>
      </c>
      <c r="E51" t="s">
        <v>99</v>
      </c>
      <c r="F51" t="s">
        <v>105</v>
      </c>
      <c r="G51" s="25">
        <f t="shared" ca="1" si="0"/>
        <v>2059202049643</v>
      </c>
      <c r="H51" t="s">
        <v>34</v>
      </c>
      <c r="I51" t="s">
        <v>105</v>
      </c>
      <c r="J51" s="25">
        <f t="shared" ca="1" si="1"/>
        <v>8061520992100</v>
      </c>
      <c r="K51" t="s">
        <v>34</v>
      </c>
    </row>
    <row r="52" spans="1:11">
      <c r="A52">
        <v>50</v>
      </c>
      <c r="B52" t="s">
        <v>150</v>
      </c>
      <c r="C52" t="s">
        <v>98</v>
      </c>
      <c r="D52" s="36">
        <f t="shared" ca="1" si="2"/>
        <v>43948</v>
      </c>
      <c r="E52" t="s">
        <v>29</v>
      </c>
      <c r="F52" t="s">
        <v>107</v>
      </c>
      <c r="G52" s="25">
        <f t="shared" ca="1" si="0"/>
        <v>6036877723443</v>
      </c>
      <c r="H52" t="s">
        <v>34</v>
      </c>
      <c r="I52" t="s">
        <v>107</v>
      </c>
      <c r="J52" s="25">
        <f t="shared" ca="1" si="1"/>
        <v>8177332028872</v>
      </c>
      <c r="K52" t="s">
        <v>34</v>
      </c>
    </row>
    <row r="53" spans="1:11">
      <c r="A53">
        <v>51</v>
      </c>
      <c r="B53" t="s">
        <v>151</v>
      </c>
      <c r="C53" t="s">
        <v>25</v>
      </c>
      <c r="D53" s="36">
        <f t="shared" ca="1" si="2"/>
        <v>44079</v>
      </c>
      <c r="E53" t="s">
        <v>91</v>
      </c>
      <c r="F53" t="s">
        <v>31</v>
      </c>
      <c r="G53" s="25">
        <f t="shared" ca="1" si="0"/>
        <v>8553123132108</v>
      </c>
      <c r="H53" t="s">
        <v>34</v>
      </c>
      <c r="I53" t="s">
        <v>31</v>
      </c>
      <c r="J53" s="25">
        <f t="shared" ca="1" si="1"/>
        <v>1727925111698</v>
      </c>
      <c r="K53" t="s">
        <v>34</v>
      </c>
    </row>
    <row r="54" spans="1:11">
      <c r="A54">
        <v>52</v>
      </c>
      <c r="B54" t="s">
        <v>152</v>
      </c>
      <c r="C54" t="s">
        <v>104</v>
      </c>
      <c r="D54" s="36">
        <f t="shared" ca="1" si="2"/>
        <v>44033</v>
      </c>
      <c r="E54" t="s">
        <v>95</v>
      </c>
      <c r="F54" t="s">
        <v>92</v>
      </c>
      <c r="G54" s="25">
        <f t="shared" ca="1" si="0"/>
        <v>6445198194470</v>
      </c>
      <c r="H54" t="s">
        <v>34</v>
      </c>
      <c r="I54" t="s">
        <v>92</v>
      </c>
      <c r="J54" s="25">
        <f t="shared" ca="1" si="1"/>
        <v>2829013057621</v>
      </c>
      <c r="K54" t="s">
        <v>34</v>
      </c>
    </row>
    <row r="55" spans="1:11">
      <c r="A55">
        <v>53</v>
      </c>
      <c r="B55" t="s">
        <v>153</v>
      </c>
      <c r="C55" t="s">
        <v>90</v>
      </c>
      <c r="D55" s="36">
        <f t="shared" ca="1" si="2"/>
        <v>43930</v>
      </c>
      <c r="E55" t="s">
        <v>99</v>
      </c>
      <c r="F55" t="s">
        <v>96</v>
      </c>
      <c r="G55" s="25">
        <f t="shared" ca="1" si="0"/>
        <v>3252744264880</v>
      </c>
      <c r="H55" t="s">
        <v>34</v>
      </c>
      <c r="I55" t="s">
        <v>96</v>
      </c>
      <c r="J55" s="25">
        <f t="shared" ca="1" si="1"/>
        <v>4922998197704</v>
      </c>
      <c r="K55" t="s">
        <v>34</v>
      </c>
    </row>
    <row r="56" spans="1:11">
      <c r="A56">
        <v>54</v>
      </c>
      <c r="B56" t="s">
        <v>154</v>
      </c>
      <c r="C56" t="s">
        <v>94</v>
      </c>
      <c r="D56" s="36">
        <f t="shared" ca="1" si="2"/>
        <v>43866</v>
      </c>
      <c r="E56" t="s">
        <v>29</v>
      </c>
      <c r="F56" t="s">
        <v>100</v>
      </c>
      <c r="G56" s="25">
        <f t="shared" ca="1" si="0"/>
        <v>2734327921896</v>
      </c>
      <c r="H56" t="s">
        <v>34</v>
      </c>
      <c r="I56" t="s">
        <v>100</v>
      </c>
      <c r="J56" s="25">
        <f t="shared" ca="1" si="1"/>
        <v>1926986602478</v>
      </c>
      <c r="K56" t="s">
        <v>34</v>
      </c>
    </row>
    <row r="57" spans="1:11">
      <c r="A57">
        <v>55</v>
      </c>
      <c r="B57" t="s">
        <v>155</v>
      </c>
      <c r="C57" t="s">
        <v>98</v>
      </c>
      <c r="D57" s="36">
        <f t="shared" ca="1" si="2"/>
        <v>44111</v>
      </c>
      <c r="E57" t="s">
        <v>91</v>
      </c>
      <c r="F57" t="s">
        <v>102</v>
      </c>
      <c r="G57" s="25">
        <f t="shared" ca="1" si="0"/>
        <v>5618924961988</v>
      </c>
      <c r="H57" t="s">
        <v>34</v>
      </c>
      <c r="I57" t="s">
        <v>102</v>
      </c>
      <c r="J57" s="25">
        <f t="shared" ca="1" si="1"/>
        <v>1145057713020</v>
      </c>
      <c r="K57" t="s">
        <v>34</v>
      </c>
    </row>
    <row r="58" spans="1:11">
      <c r="A58">
        <v>56</v>
      </c>
      <c r="B58" t="s">
        <v>156</v>
      </c>
      <c r="C58" t="s">
        <v>25</v>
      </c>
      <c r="D58" s="36">
        <f t="shared" ca="1" si="2"/>
        <v>44059</v>
      </c>
      <c r="E58" t="s">
        <v>95</v>
      </c>
      <c r="F58" t="s">
        <v>105</v>
      </c>
      <c r="G58" s="25">
        <f t="shared" ca="1" si="0"/>
        <v>4587937076259</v>
      </c>
      <c r="H58" t="s">
        <v>34</v>
      </c>
      <c r="I58" t="s">
        <v>105</v>
      </c>
      <c r="J58" s="25">
        <f t="shared" ca="1" si="1"/>
        <v>7817240691045</v>
      </c>
      <c r="K58" t="s">
        <v>34</v>
      </c>
    </row>
    <row r="59" spans="1:11">
      <c r="A59">
        <v>57</v>
      </c>
      <c r="B59" t="s">
        <v>157</v>
      </c>
      <c r="C59" t="s">
        <v>104</v>
      </c>
      <c r="D59" s="36">
        <f t="shared" ca="1" si="2"/>
        <v>43865</v>
      </c>
      <c r="E59" t="s">
        <v>99</v>
      </c>
      <c r="F59" t="s">
        <v>107</v>
      </c>
      <c r="G59" s="25">
        <f t="shared" ca="1" si="0"/>
        <v>7273787731340</v>
      </c>
      <c r="H59" t="s">
        <v>34</v>
      </c>
      <c r="I59" t="s">
        <v>107</v>
      </c>
      <c r="J59" s="25">
        <f t="shared" ca="1" si="1"/>
        <v>6242913104730</v>
      </c>
      <c r="K59" t="s">
        <v>34</v>
      </c>
    </row>
    <row r="60" spans="1:11">
      <c r="A60">
        <v>58</v>
      </c>
      <c r="B60" t="s">
        <v>158</v>
      </c>
      <c r="C60" t="s">
        <v>90</v>
      </c>
      <c r="D60" s="36">
        <f t="shared" ca="1" si="2"/>
        <v>44093</v>
      </c>
      <c r="E60" t="s">
        <v>29</v>
      </c>
      <c r="F60" t="s">
        <v>31</v>
      </c>
      <c r="G60" s="25">
        <f t="shared" ca="1" si="0"/>
        <v>7214215320196</v>
      </c>
      <c r="H60" t="s">
        <v>34</v>
      </c>
      <c r="I60" t="s">
        <v>31</v>
      </c>
      <c r="J60" s="25">
        <f t="shared" ca="1" si="1"/>
        <v>8250744110098</v>
      </c>
      <c r="K60" t="s">
        <v>34</v>
      </c>
    </row>
    <row r="61" spans="1:11">
      <c r="A61">
        <v>59</v>
      </c>
      <c r="B61" t="s">
        <v>159</v>
      </c>
      <c r="C61" t="s">
        <v>94</v>
      </c>
      <c r="D61" s="36">
        <f t="shared" ca="1" si="2"/>
        <v>44014</v>
      </c>
      <c r="E61" t="s">
        <v>91</v>
      </c>
      <c r="F61" t="s">
        <v>92</v>
      </c>
      <c r="G61" s="25">
        <f t="shared" ca="1" si="0"/>
        <v>5594052110414</v>
      </c>
      <c r="H61" t="s">
        <v>34</v>
      </c>
      <c r="I61" t="s">
        <v>92</v>
      </c>
      <c r="J61" s="25">
        <f t="shared" ca="1" si="1"/>
        <v>2813592480766</v>
      </c>
      <c r="K61" t="s">
        <v>34</v>
      </c>
    </row>
    <row r="62" spans="1:11">
      <c r="A62">
        <v>60</v>
      </c>
      <c r="B62" t="s">
        <v>160</v>
      </c>
      <c r="C62" t="s">
        <v>98</v>
      </c>
      <c r="D62" s="36">
        <f t="shared" ca="1" si="2"/>
        <v>43965</v>
      </c>
      <c r="E62" t="s">
        <v>95</v>
      </c>
      <c r="F62" t="s">
        <v>96</v>
      </c>
      <c r="G62" s="25">
        <f t="shared" ca="1" si="0"/>
        <v>7576028637863</v>
      </c>
      <c r="H62" t="s">
        <v>34</v>
      </c>
      <c r="I62" t="s">
        <v>96</v>
      </c>
      <c r="J62" s="25">
        <f t="shared" ca="1" si="1"/>
        <v>7777058846496</v>
      </c>
      <c r="K62" t="s">
        <v>34</v>
      </c>
    </row>
    <row r="63" spans="1:11">
      <c r="A63">
        <v>61</v>
      </c>
      <c r="B63" t="s">
        <v>161</v>
      </c>
      <c r="C63" t="s">
        <v>25</v>
      </c>
      <c r="D63" s="36">
        <f t="shared" ca="1" si="2"/>
        <v>44038</v>
      </c>
      <c r="E63" t="s">
        <v>99</v>
      </c>
      <c r="F63" t="s">
        <v>100</v>
      </c>
      <c r="G63" s="25">
        <f t="shared" ca="1" si="0"/>
        <v>3952003805415</v>
      </c>
      <c r="H63" t="s">
        <v>34</v>
      </c>
      <c r="I63" t="s">
        <v>100</v>
      </c>
      <c r="J63" s="25">
        <f t="shared" ca="1" si="1"/>
        <v>7984050227723</v>
      </c>
      <c r="K63" t="s">
        <v>34</v>
      </c>
    </row>
    <row r="64" spans="1:11">
      <c r="A64">
        <v>62</v>
      </c>
      <c r="B64" t="s">
        <v>162</v>
      </c>
      <c r="C64" t="s">
        <v>104</v>
      </c>
      <c r="D64" s="36">
        <f t="shared" ca="1" si="2"/>
        <v>43876</v>
      </c>
      <c r="E64" t="s">
        <v>29</v>
      </c>
      <c r="F64" t="s">
        <v>102</v>
      </c>
      <c r="G64" s="25">
        <f t="shared" ca="1" si="0"/>
        <v>3390587948659</v>
      </c>
      <c r="H64" t="s">
        <v>34</v>
      </c>
      <c r="I64" t="s">
        <v>102</v>
      </c>
      <c r="J64" s="25">
        <f t="shared" ca="1" si="1"/>
        <v>8899838617719</v>
      </c>
      <c r="K64" t="s">
        <v>34</v>
      </c>
    </row>
    <row r="65" spans="1:11">
      <c r="A65">
        <v>63</v>
      </c>
      <c r="B65" t="s">
        <v>163</v>
      </c>
      <c r="C65" t="s">
        <v>90</v>
      </c>
      <c r="D65" s="36">
        <f t="shared" ca="1" si="2"/>
        <v>44090</v>
      </c>
      <c r="E65" t="s">
        <v>91</v>
      </c>
      <c r="F65" t="s">
        <v>105</v>
      </c>
      <c r="G65" s="25">
        <f t="shared" ca="1" si="0"/>
        <v>3322434573952</v>
      </c>
      <c r="H65" t="s">
        <v>34</v>
      </c>
      <c r="I65" t="s">
        <v>105</v>
      </c>
      <c r="J65" s="25">
        <f t="shared" ca="1" si="1"/>
        <v>7063180103720</v>
      </c>
      <c r="K65" t="s">
        <v>34</v>
      </c>
    </row>
    <row r="66" spans="1:11">
      <c r="A66">
        <v>64</v>
      </c>
      <c r="B66" t="s">
        <v>164</v>
      </c>
      <c r="C66" t="s">
        <v>94</v>
      </c>
      <c r="D66" s="36">
        <f t="shared" ca="1" si="2"/>
        <v>43941</v>
      </c>
      <c r="E66" t="s">
        <v>95</v>
      </c>
      <c r="F66" t="s">
        <v>107</v>
      </c>
      <c r="G66" s="25">
        <f t="shared" ca="1" si="0"/>
        <v>8478125708367</v>
      </c>
      <c r="H66" t="s">
        <v>34</v>
      </c>
      <c r="I66" t="s">
        <v>107</v>
      </c>
      <c r="J66" s="25">
        <f t="shared" ca="1" si="1"/>
        <v>5950186614560</v>
      </c>
      <c r="K66" t="s">
        <v>34</v>
      </c>
    </row>
    <row r="67" spans="1:11">
      <c r="A67">
        <v>65</v>
      </c>
      <c r="B67" t="s">
        <v>165</v>
      </c>
      <c r="C67" t="s">
        <v>98</v>
      </c>
      <c r="D67" s="36">
        <f t="shared" ca="1" si="2"/>
        <v>44030</v>
      </c>
      <c r="E67" t="s">
        <v>99</v>
      </c>
      <c r="F67" t="s">
        <v>31</v>
      </c>
      <c r="G67" s="25">
        <f t="shared" ca="1" si="0"/>
        <v>1498764190871</v>
      </c>
      <c r="H67" t="s">
        <v>34</v>
      </c>
      <c r="I67" t="s">
        <v>31</v>
      </c>
      <c r="J67" s="25">
        <f t="shared" ca="1" si="1"/>
        <v>3787950256346</v>
      </c>
      <c r="K67" t="s">
        <v>34</v>
      </c>
    </row>
    <row r="68" spans="1:11">
      <c r="A68">
        <v>66</v>
      </c>
      <c r="B68" t="s">
        <v>166</v>
      </c>
      <c r="C68" t="s">
        <v>25</v>
      </c>
      <c r="D68" s="36">
        <f t="shared" ref="D68:D78" ca="1" si="3">RANDBETWEEN(DATE(2020,1,1),DATE(2020,12,31))</f>
        <v>43954</v>
      </c>
      <c r="E68" t="s">
        <v>29</v>
      </c>
      <c r="F68" t="s">
        <v>92</v>
      </c>
      <c r="G68" s="25">
        <f t="shared" ca="1" si="0"/>
        <v>1554343907157</v>
      </c>
      <c r="H68" t="s">
        <v>34</v>
      </c>
      <c r="I68" t="s">
        <v>92</v>
      </c>
      <c r="J68" s="25">
        <f t="shared" ref="J68:J78" ca="1" si="4">RANDBETWEEN(100000000000,9000000000000)</f>
        <v>4873538136772</v>
      </c>
      <c r="K68" t="s">
        <v>34</v>
      </c>
    </row>
    <row r="69" spans="1:11">
      <c r="A69">
        <v>67</v>
      </c>
      <c r="B69" t="s">
        <v>167</v>
      </c>
      <c r="C69" t="s">
        <v>104</v>
      </c>
      <c r="D69" s="36">
        <f t="shared" ca="1" si="3"/>
        <v>43851</v>
      </c>
      <c r="E69" t="s">
        <v>91</v>
      </c>
      <c r="F69" t="s">
        <v>96</v>
      </c>
      <c r="G69" s="25">
        <f t="shared" ref="G69:G78" ca="1" si="5">RANDBETWEEN(100000000000,9000000000000)</f>
        <v>6276081311340</v>
      </c>
      <c r="H69" t="s">
        <v>34</v>
      </c>
      <c r="I69" t="s">
        <v>96</v>
      </c>
      <c r="J69" s="25">
        <f t="shared" ca="1" si="4"/>
        <v>4045557276027</v>
      </c>
      <c r="K69" t="s">
        <v>34</v>
      </c>
    </row>
    <row r="70" spans="1:11">
      <c r="A70">
        <v>68</v>
      </c>
      <c r="B70" t="s">
        <v>168</v>
      </c>
      <c r="C70" t="s">
        <v>90</v>
      </c>
      <c r="D70" s="36">
        <f t="shared" ca="1" si="3"/>
        <v>43879</v>
      </c>
      <c r="E70" t="s">
        <v>95</v>
      </c>
      <c r="F70" t="s">
        <v>100</v>
      </c>
      <c r="G70" s="25">
        <f t="shared" ca="1" si="5"/>
        <v>4042036742774</v>
      </c>
      <c r="H70" t="s">
        <v>34</v>
      </c>
      <c r="I70" t="s">
        <v>100</v>
      </c>
      <c r="J70" s="25">
        <f t="shared" ca="1" si="4"/>
        <v>6686667838185</v>
      </c>
      <c r="K70" t="s">
        <v>34</v>
      </c>
    </row>
    <row r="71" spans="1:11">
      <c r="A71">
        <v>69</v>
      </c>
      <c r="B71" t="s">
        <v>169</v>
      </c>
      <c r="C71" t="s">
        <v>94</v>
      </c>
      <c r="D71" s="36">
        <f t="shared" ca="1" si="3"/>
        <v>44020</v>
      </c>
      <c r="E71" t="s">
        <v>99</v>
      </c>
      <c r="F71" t="s">
        <v>102</v>
      </c>
      <c r="G71" s="25">
        <f t="shared" ca="1" si="5"/>
        <v>991036442790</v>
      </c>
      <c r="H71" t="s">
        <v>34</v>
      </c>
      <c r="I71" t="s">
        <v>102</v>
      </c>
      <c r="J71" s="25">
        <f t="shared" ca="1" si="4"/>
        <v>6839254238976</v>
      </c>
      <c r="K71" t="s">
        <v>34</v>
      </c>
    </row>
    <row r="72" spans="1:11">
      <c r="A72">
        <v>70</v>
      </c>
      <c r="B72" t="s">
        <v>170</v>
      </c>
      <c r="C72" t="s">
        <v>98</v>
      </c>
      <c r="D72" s="36">
        <f t="shared" ca="1" si="3"/>
        <v>44050</v>
      </c>
      <c r="E72" t="s">
        <v>29</v>
      </c>
      <c r="F72" t="s">
        <v>105</v>
      </c>
      <c r="G72" s="25">
        <f t="shared" ca="1" si="5"/>
        <v>2188922309174</v>
      </c>
      <c r="H72" t="s">
        <v>34</v>
      </c>
      <c r="I72" t="s">
        <v>105</v>
      </c>
      <c r="J72" s="25">
        <f t="shared" ca="1" si="4"/>
        <v>8027837029434</v>
      </c>
      <c r="K72" t="s">
        <v>34</v>
      </c>
    </row>
    <row r="73" spans="1:11">
      <c r="A73">
        <v>71</v>
      </c>
      <c r="B73" t="s">
        <v>171</v>
      </c>
      <c r="C73" t="s">
        <v>25</v>
      </c>
      <c r="D73" s="36">
        <f t="shared" ca="1" si="3"/>
        <v>43851</v>
      </c>
      <c r="E73" t="s">
        <v>91</v>
      </c>
      <c r="F73" t="s">
        <v>107</v>
      </c>
      <c r="G73" s="25">
        <f t="shared" ca="1" si="5"/>
        <v>3944030612958</v>
      </c>
      <c r="H73" t="s">
        <v>34</v>
      </c>
      <c r="I73" t="s">
        <v>107</v>
      </c>
      <c r="J73" s="25">
        <f t="shared" ca="1" si="4"/>
        <v>2805869017658</v>
      </c>
      <c r="K73" t="s">
        <v>34</v>
      </c>
    </row>
    <row r="74" spans="1:11">
      <c r="A74">
        <v>72</v>
      </c>
      <c r="B74" t="s">
        <v>172</v>
      </c>
      <c r="C74" t="s">
        <v>104</v>
      </c>
      <c r="D74" s="36">
        <f t="shared" ca="1" si="3"/>
        <v>43986</v>
      </c>
      <c r="E74" t="s">
        <v>95</v>
      </c>
      <c r="F74" t="s">
        <v>31</v>
      </c>
      <c r="G74" s="25">
        <f t="shared" ca="1" si="5"/>
        <v>8616265686747</v>
      </c>
      <c r="H74" t="s">
        <v>34</v>
      </c>
      <c r="I74" t="s">
        <v>31</v>
      </c>
      <c r="J74" s="25">
        <f t="shared" ca="1" si="4"/>
        <v>3247288886145</v>
      </c>
      <c r="K74" t="s">
        <v>34</v>
      </c>
    </row>
    <row r="75" spans="1:11">
      <c r="A75">
        <v>73</v>
      </c>
      <c r="B75" t="s">
        <v>173</v>
      </c>
      <c r="C75" t="s">
        <v>90</v>
      </c>
      <c r="D75" s="36">
        <f t="shared" ca="1" si="3"/>
        <v>44127</v>
      </c>
      <c r="E75" t="s">
        <v>99</v>
      </c>
      <c r="F75" t="s">
        <v>92</v>
      </c>
      <c r="G75" s="25">
        <f t="shared" ca="1" si="5"/>
        <v>7490581411755</v>
      </c>
      <c r="H75" t="s">
        <v>34</v>
      </c>
      <c r="I75" t="s">
        <v>92</v>
      </c>
      <c r="J75" s="25">
        <f t="shared" ca="1" si="4"/>
        <v>3759374457645</v>
      </c>
      <c r="K75" t="s">
        <v>34</v>
      </c>
    </row>
    <row r="76" spans="1:11">
      <c r="A76">
        <v>74</v>
      </c>
      <c r="B76" t="s">
        <v>174</v>
      </c>
      <c r="C76" t="s">
        <v>94</v>
      </c>
      <c r="D76" s="36">
        <f t="shared" ca="1" si="3"/>
        <v>43896</v>
      </c>
      <c r="E76" t="s">
        <v>29</v>
      </c>
      <c r="F76" t="s">
        <v>96</v>
      </c>
      <c r="G76" s="25">
        <f t="shared" ca="1" si="5"/>
        <v>1185965144327</v>
      </c>
      <c r="H76" t="s">
        <v>34</v>
      </c>
      <c r="I76" t="s">
        <v>96</v>
      </c>
      <c r="J76" s="25">
        <f t="shared" ca="1" si="4"/>
        <v>7940665695549</v>
      </c>
      <c r="K76" t="s">
        <v>34</v>
      </c>
    </row>
    <row r="77" spans="1:11">
      <c r="A77">
        <v>75</v>
      </c>
      <c r="B77" t="s">
        <v>175</v>
      </c>
      <c r="C77" t="s">
        <v>98</v>
      </c>
      <c r="D77" s="36">
        <f t="shared" ca="1" si="3"/>
        <v>43917</v>
      </c>
      <c r="E77" t="s">
        <v>91</v>
      </c>
      <c r="F77" t="s">
        <v>100</v>
      </c>
      <c r="G77" s="25">
        <f t="shared" ca="1" si="5"/>
        <v>909095541998</v>
      </c>
      <c r="H77" t="s">
        <v>34</v>
      </c>
      <c r="I77" t="s">
        <v>100</v>
      </c>
      <c r="J77" s="25">
        <f t="shared" ca="1" si="4"/>
        <v>2336766907556</v>
      </c>
      <c r="K77" t="s">
        <v>34</v>
      </c>
    </row>
    <row r="78" spans="1:11">
      <c r="A78">
        <v>76</v>
      </c>
      <c r="B78" t="s">
        <v>176</v>
      </c>
      <c r="C78" t="s">
        <v>25</v>
      </c>
      <c r="D78" s="36">
        <f t="shared" ca="1" si="3"/>
        <v>44069</v>
      </c>
      <c r="E78" t="s">
        <v>95</v>
      </c>
      <c r="F78" t="s">
        <v>102</v>
      </c>
      <c r="G78" s="25">
        <f t="shared" ca="1" si="5"/>
        <v>6348157281701</v>
      </c>
      <c r="H78" t="s">
        <v>34</v>
      </c>
      <c r="I78" t="s">
        <v>102</v>
      </c>
      <c r="J78" s="25">
        <f t="shared" ca="1" si="4"/>
        <v>4883326512656</v>
      </c>
      <c r="K78" t="s">
        <v>34</v>
      </c>
    </row>
    <row r="79" spans="1:11">
      <c r="A79">
        <v>77</v>
      </c>
      <c r="B79" t="s">
        <v>177</v>
      </c>
    </row>
    <row r="80" spans="1:11">
      <c r="A80">
        <v>78</v>
      </c>
      <c r="B80" t="s">
        <v>178</v>
      </c>
      <c r="C80" t="s">
        <v>25</v>
      </c>
      <c r="D80" s="36">
        <v>44553</v>
      </c>
      <c r="E80" t="s">
        <v>91</v>
      </c>
      <c r="F80" t="s">
        <v>179</v>
      </c>
      <c r="G80" s="25">
        <v>254726782310</v>
      </c>
      <c r="H80" t="s">
        <v>180</v>
      </c>
      <c r="I80" t="s">
        <v>181</v>
      </c>
      <c r="J80" s="25">
        <v>254726782310</v>
      </c>
      <c r="K80" t="s">
        <v>182</v>
      </c>
    </row>
    <row r="81" spans="3:3" ht="16.5" customHeight="1">
      <c r="C81" s="75"/>
    </row>
    <row r="113" spans="5:5">
      <c r="E113" s="79"/>
    </row>
  </sheetData>
  <mergeCells count="1">
    <mergeCell ref="A2:K2"/>
  </mergeCells>
  <hyperlinks>
    <hyperlink ref="H4:H78" r:id="rId1" display="veronicananjala1@gmail.com" xr:uid="{EAC39368-DACB-4B1F-909F-BC0CBA8A5E20}"/>
    <hyperlink ref="K4:K78" r:id="rId2" display="veronicananjala1@gmail.com" xr:uid="{9040288A-BF66-4AA2-A01B-2F25446F3361}"/>
  </hyperlinks>
  <pageMargins left="0.7" right="0.7" top="0.75" bottom="0.75" header="0.3" footer="0.3"/>
  <pageSetup orientation="portrait"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8E03B1-6709-4A38-842B-9125B03CC55C}">
  <sheetPr codeName="UnitsDB"/>
  <dimension ref="A1:Y150"/>
  <sheetViews>
    <sheetView zoomScale="90" zoomScaleNormal="90" workbookViewId="0">
      <pane ySplit="3" topLeftCell="H164" activePane="bottomLeft" state="frozen"/>
      <selection pane="bottomLeft" activeCell="H164" sqref="H164"/>
    </sheetView>
  </sheetViews>
  <sheetFormatPr defaultRowHeight="17.25"/>
  <cols>
    <col min="1" max="1" width="6.875" customWidth="1"/>
    <col min="2" max="2" width="13.625" customWidth="1"/>
    <col min="3" max="3" width="12.625" customWidth="1"/>
    <col min="4" max="4" width="5.75" style="38" customWidth="1"/>
    <col min="5" max="5" width="14.625" customWidth="1"/>
    <col min="6" max="6" width="9.5" customWidth="1"/>
    <col min="7" max="7" width="29.625" customWidth="1"/>
    <col min="8" max="8" width="16.875" customWidth="1"/>
    <col min="9" max="9" width="25.75" customWidth="1"/>
    <col min="10" max="10" width="29" customWidth="1"/>
    <col min="11" max="11" width="16.875" customWidth="1"/>
    <col min="12" max="12" width="25.75" customWidth="1"/>
    <col min="13" max="13" width="2" customWidth="1"/>
    <col min="14" max="14" width="0" hidden="1" customWidth="1"/>
    <col min="15" max="15" width="13.625" customWidth="1"/>
    <col min="16" max="16" width="0" hidden="1" customWidth="1"/>
  </cols>
  <sheetData>
    <row r="1" spans="1:25" s="1" customFormat="1">
      <c r="A1" s="29" t="s">
        <v>69</v>
      </c>
      <c r="B1" s="29" t="s">
        <v>183</v>
      </c>
      <c r="C1" s="29" t="s">
        <v>70</v>
      </c>
      <c r="D1" s="37" t="s">
        <v>71</v>
      </c>
      <c r="E1" s="29" t="s">
        <v>72</v>
      </c>
      <c r="F1" s="29" t="s">
        <v>73</v>
      </c>
      <c r="G1" s="29" t="s">
        <v>74</v>
      </c>
      <c r="H1" s="29" t="s">
        <v>75</v>
      </c>
      <c r="I1" s="29" t="s">
        <v>76</v>
      </c>
      <c r="J1" s="33" t="s">
        <v>77</v>
      </c>
      <c r="K1" s="29" t="s">
        <v>78</v>
      </c>
      <c r="L1" s="29" t="s">
        <v>79</v>
      </c>
      <c r="N1"/>
      <c r="O1" s="34" t="s">
        <v>184</v>
      </c>
      <c r="P1"/>
      <c r="Q1" s="94" t="s">
        <v>185</v>
      </c>
      <c r="R1" s="95"/>
      <c r="S1"/>
      <c r="T1"/>
      <c r="U1"/>
      <c r="V1"/>
      <c r="W1"/>
      <c r="X1"/>
      <c r="Y1"/>
    </row>
    <row r="2" spans="1:25" ht="24.75">
      <c r="A2" s="91" t="s">
        <v>186</v>
      </c>
      <c r="B2" s="92"/>
      <c r="C2" s="92"/>
      <c r="D2" s="92"/>
      <c r="E2" s="92"/>
      <c r="F2" s="92"/>
      <c r="G2" s="92"/>
      <c r="H2" s="92"/>
      <c r="I2" s="92"/>
      <c r="J2" s="92"/>
      <c r="K2" s="92"/>
      <c r="L2" s="93"/>
      <c r="O2" s="26" t="s">
        <v>23</v>
      </c>
      <c r="Q2" s="35" t="s">
        <v>38</v>
      </c>
      <c r="R2" s="35" t="s">
        <v>42</v>
      </c>
    </row>
    <row r="3" spans="1:25">
      <c r="A3" s="68" t="s">
        <v>38</v>
      </c>
      <c r="B3" s="68" t="s">
        <v>23</v>
      </c>
      <c r="C3" s="68" t="s">
        <v>41</v>
      </c>
      <c r="D3" s="69" t="s">
        <v>57</v>
      </c>
      <c r="E3" s="68" t="s">
        <v>187</v>
      </c>
      <c r="F3" s="68" t="s">
        <v>44</v>
      </c>
      <c r="G3" s="68" t="s">
        <v>45</v>
      </c>
      <c r="H3" s="70" t="s">
        <v>188</v>
      </c>
      <c r="I3" s="68" t="s">
        <v>47</v>
      </c>
      <c r="J3" s="70" t="s">
        <v>48</v>
      </c>
      <c r="K3" s="70" t="s">
        <v>49</v>
      </c>
      <c r="L3" s="68" t="s">
        <v>50</v>
      </c>
      <c r="Q3" s="1"/>
    </row>
    <row r="4" spans="1:25" ht="18.75">
      <c r="A4">
        <v>1</v>
      </c>
      <c r="B4" s="40" t="str" cm="1">
        <f t="array" aca="1" ref="B4:B150" ca="1">INDEX(Property_Name,_xlfn.RANDARRAY(147,1,1,COUNTA(Property_Name),TRUE))</f>
        <v>Granite Real Estate</v>
      </c>
      <c r="C4" t="s">
        <v>189</v>
      </c>
      <c r="D4" s="39" t="str">
        <f ca="1">CHAR(RANDBETWEEN(65,90))</f>
        <v>G</v>
      </c>
      <c r="E4" t="s">
        <v>190</v>
      </c>
      <c r="F4" t="s">
        <v>191</v>
      </c>
      <c r="G4" s="36">
        <f ca="1">RANDBETWEEN(DATE(2020,1,1),DATE(2020,12,31))</f>
        <v>43916</v>
      </c>
      <c r="H4" s="25">
        <f ca="1">RANDBETWEEN(100000000000,9000000000000)</f>
        <v>1458655100176</v>
      </c>
      <c r="I4" s="31" t="s">
        <v>34</v>
      </c>
      <c r="J4" s="36">
        <f ca="1">RANDBETWEEN(DATE(2022,1,1),DATE(2022,12,31))</f>
        <v>44787</v>
      </c>
      <c r="K4" s="25">
        <f ca="1">RANDBETWEEN(100000000000,9000000000000)</f>
        <v>498995738318</v>
      </c>
      <c r="L4" s="31" t="s">
        <v>34</v>
      </c>
      <c r="Q4" s="1"/>
    </row>
    <row r="5" spans="1:25">
      <c r="A5">
        <v>2</v>
      </c>
      <c r="B5" t="str">
        <f ca="1"/>
        <v>Blue Slate Realty</v>
      </c>
      <c r="C5" t="s">
        <v>192</v>
      </c>
      <c r="D5" s="39" t="str">
        <f t="shared" ref="D5:D68" ca="1" si="0">CHAR(RANDBETWEEN(65,90))</f>
        <v>T</v>
      </c>
      <c r="E5" t="s">
        <v>193</v>
      </c>
      <c r="F5" t="s">
        <v>194</v>
      </c>
      <c r="G5" s="36">
        <f t="shared" ref="G5:G68" ca="1" si="1">RANDBETWEEN(DATE(2020,1,1),DATE(2020,12,31))</f>
        <v>43855</v>
      </c>
      <c r="H5" s="25">
        <f t="shared" ref="H5:H68" ca="1" si="2">RANDBETWEEN(100000000000,9000000000000)</f>
        <v>7125752602360</v>
      </c>
      <c r="I5" s="31" t="s">
        <v>34</v>
      </c>
      <c r="J5" s="36">
        <f t="shared" ref="J5:J68" ca="1" si="3">RANDBETWEEN(DATE(2022,1,1),DATE(2022,12,31))</f>
        <v>44870</v>
      </c>
      <c r="K5" s="25">
        <f t="shared" ref="K5:K68" ca="1" si="4">RANDBETWEEN(100000000000,9000000000000)</f>
        <v>7174027633357</v>
      </c>
      <c r="L5" s="31" t="s">
        <v>34</v>
      </c>
    </row>
    <row r="6" spans="1:25">
      <c r="A6">
        <v>3</v>
      </c>
      <c r="B6" t="str">
        <f ca="1"/>
        <v>Divine Nooks</v>
      </c>
      <c r="C6" t="s">
        <v>195</v>
      </c>
      <c r="D6" s="39" t="str">
        <f t="shared" ca="1" si="0"/>
        <v>K</v>
      </c>
      <c r="E6" t="s">
        <v>196</v>
      </c>
      <c r="F6" t="s">
        <v>197</v>
      </c>
      <c r="G6" s="36">
        <f t="shared" ca="1" si="1"/>
        <v>44114</v>
      </c>
      <c r="H6" s="25">
        <f t="shared" ca="1" si="2"/>
        <v>6910904490654</v>
      </c>
      <c r="I6" s="31" t="s">
        <v>34</v>
      </c>
      <c r="J6" s="36">
        <f t="shared" ca="1" si="3"/>
        <v>44739</v>
      </c>
      <c r="K6" s="25">
        <f t="shared" ca="1" si="4"/>
        <v>8412067723030</v>
      </c>
      <c r="L6" s="31" t="s">
        <v>34</v>
      </c>
    </row>
    <row r="7" spans="1:25">
      <c r="A7">
        <v>4</v>
      </c>
      <c r="B7" t="str">
        <f ca="1"/>
        <v>Cobblestone Realty Partners</v>
      </c>
      <c r="C7" t="s">
        <v>198</v>
      </c>
      <c r="D7" s="39" t="str">
        <f t="shared" ca="1" si="0"/>
        <v>M</v>
      </c>
      <c r="E7" t="s">
        <v>199</v>
      </c>
      <c r="F7" t="s">
        <v>191</v>
      </c>
      <c r="G7" s="36">
        <f t="shared" ca="1" si="1"/>
        <v>44196</v>
      </c>
      <c r="H7" s="25">
        <f t="shared" ca="1" si="2"/>
        <v>4072337303500</v>
      </c>
      <c r="I7" s="31" t="s">
        <v>34</v>
      </c>
      <c r="J7" s="36">
        <f t="shared" ca="1" si="3"/>
        <v>44777</v>
      </c>
      <c r="K7" s="25">
        <f t="shared" ca="1" si="4"/>
        <v>5521710797365</v>
      </c>
      <c r="L7" s="31" t="s">
        <v>34</v>
      </c>
    </row>
    <row r="8" spans="1:25">
      <c r="A8">
        <v>5</v>
      </c>
      <c r="B8" t="str">
        <f ca="1"/>
        <v>Driggs Realty</v>
      </c>
      <c r="C8" t="s">
        <v>200</v>
      </c>
      <c r="D8" s="39" t="str">
        <f t="shared" ca="1" si="0"/>
        <v>H</v>
      </c>
      <c r="E8" t="s">
        <v>190</v>
      </c>
      <c r="F8" t="s">
        <v>194</v>
      </c>
      <c r="G8" s="36">
        <f t="shared" ca="1" si="1"/>
        <v>43936</v>
      </c>
      <c r="H8" s="25">
        <f t="shared" ca="1" si="2"/>
        <v>3374071768188</v>
      </c>
      <c r="I8" s="31" t="s">
        <v>34</v>
      </c>
      <c r="J8" s="36">
        <f t="shared" ca="1" si="3"/>
        <v>44779</v>
      </c>
      <c r="K8" s="25">
        <f t="shared" ca="1" si="4"/>
        <v>1512078834727</v>
      </c>
      <c r="L8" s="31" t="s">
        <v>34</v>
      </c>
    </row>
    <row r="9" spans="1:25">
      <c r="A9">
        <v>6</v>
      </c>
      <c r="B9" t="str">
        <f ca="1"/>
        <v>Golden Meadows Property Group</v>
      </c>
      <c r="C9" t="s">
        <v>201</v>
      </c>
      <c r="D9" s="39" t="str">
        <f t="shared" ca="1" si="0"/>
        <v>L</v>
      </c>
      <c r="E9" t="s">
        <v>193</v>
      </c>
      <c r="F9" t="s">
        <v>197</v>
      </c>
      <c r="G9" s="36">
        <f t="shared" ca="1" si="1"/>
        <v>43962</v>
      </c>
      <c r="H9" s="25">
        <f t="shared" ca="1" si="2"/>
        <v>3869036235867</v>
      </c>
      <c r="I9" s="31" t="s">
        <v>34</v>
      </c>
      <c r="J9" s="36">
        <f t="shared" ca="1" si="3"/>
        <v>44691</v>
      </c>
      <c r="K9" s="25">
        <f t="shared" ca="1" si="4"/>
        <v>5670080138269</v>
      </c>
      <c r="L9" s="31" t="s">
        <v>34</v>
      </c>
    </row>
    <row r="10" spans="1:25">
      <c r="A10">
        <v>7</v>
      </c>
      <c r="B10" t="str">
        <f ca="1"/>
        <v>Equinox Partners Real Property</v>
      </c>
      <c r="C10" t="s">
        <v>202</v>
      </c>
      <c r="D10" s="39" t="str">
        <f t="shared" ca="1" si="0"/>
        <v>Z</v>
      </c>
      <c r="E10" t="s">
        <v>196</v>
      </c>
      <c r="F10" t="s">
        <v>191</v>
      </c>
      <c r="G10" s="36">
        <f t="shared" ca="1" si="1"/>
        <v>44161</v>
      </c>
      <c r="H10" s="25">
        <f t="shared" ca="1" si="2"/>
        <v>4669174815384</v>
      </c>
      <c r="I10" s="31" t="s">
        <v>34</v>
      </c>
      <c r="J10" s="36">
        <f t="shared" ca="1" si="3"/>
        <v>44773</v>
      </c>
      <c r="K10" s="25">
        <f t="shared" ca="1" si="4"/>
        <v>8176080326802</v>
      </c>
      <c r="L10" s="31" t="s">
        <v>34</v>
      </c>
    </row>
    <row r="11" spans="1:25">
      <c r="A11">
        <v>8</v>
      </c>
      <c r="B11" t="str">
        <f ca="1"/>
        <v>Lamplighters Realty</v>
      </c>
      <c r="C11" t="s">
        <v>189</v>
      </c>
      <c r="D11" s="39" t="str">
        <f t="shared" ca="1" si="0"/>
        <v>H</v>
      </c>
      <c r="E11" t="s">
        <v>199</v>
      </c>
      <c r="F11" t="s">
        <v>194</v>
      </c>
      <c r="G11" s="36">
        <f t="shared" ca="1" si="1"/>
        <v>43938</v>
      </c>
      <c r="H11" s="25">
        <f t="shared" ca="1" si="2"/>
        <v>877693148752</v>
      </c>
      <c r="I11" s="31" t="s">
        <v>34</v>
      </c>
      <c r="J11" s="36">
        <f t="shared" ca="1" si="3"/>
        <v>44713</v>
      </c>
      <c r="K11" s="25">
        <f t="shared" ca="1" si="4"/>
        <v>4210620380120</v>
      </c>
      <c r="L11" s="31" t="s">
        <v>34</v>
      </c>
    </row>
    <row r="12" spans="1:25">
      <c r="A12">
        <v>9</v>
      </c>
      <c r="B12" t="str">
        <f ca="1"/>
        <v>Full Circle Real Estate</v>
      </c>
      <c r="C12" t="s">
        <v>192</v>
      </c>
      <c r="D12" s="39" t="str">
        <f t="shared" ca="1" si="0"/>
        <v>O</v>
      </c>
      <c r="E12" t="s">
        <v>190</v>
      </c>
      <c r="F12" t="s">
        <v>197</v>
      </c>
      <c r="G12" s="36">
        <f t="shared" ca="1" si="1"/>
        <v>43847</v>
      </c>
      <c r="H12" s="25">
        <f t="shared" ca="1" si="2"/>
        <v>8676623120533</v>
      </c>
      <c r="I12" s="31" t="s">
        <v>34</v>
      </c>
      <c r="J12" s="36">
        <f t="shared" ca="1" si="3"/>
        <v>44770</v>
      </c>
      <c r="K12" s="25">
        <f t="shared" ca="1" si="4"/>
        <v>6629760471052</v>
      </c>
      <c r="L12" s="31" t="s">
        <v>34</v>
      </c>
    </row>
    <row r="13" spans="1:25">
      <c r="A13">
        <v>10</v>
      </c>
      <c r="B13" t="str">
        <f ca="1"/>
        <v>Lamplighters Realty</v>
      </c>
      <c r="C13" t="s">
        <v>195</v>
      </c>
      <c r="D13" s="39" t="str">
        <f t="shared" ca="1" si="0"/>
        <v>R</v>
      </c>
      <c r="E13" t="s">
        <v>193</v>
      </c>
      <c r="F13" t="s">
        <v>191</v>
      </c>
      <c r="G13" s="36">
        <f t="shared" ca="1" si="1"/>
        <v>44151</v>
      </c>
      <c r="H13" s="25">
        <f t="shared" ca="1" si="2"/>
        <v>838484112588</v>
      </c>
      <c r="I13" s="31" t="s">
        <v>34</v>
      </c>
      <c r="J13" s="36">
        <f t="shared" ca="1" si="3"/>
        <v>44645</v>
      </c>
      <c r="K13" s="25">
        <f t="shared" ca="1" si="4"/>
        <v>6086337875097</v>
      </c>
      <c r="L13" s="31" t="s">
        <v>34</v>
      </c>
    </row>
    <row r="14" spans="1:25">
      <c r="A14">
        <v>11</v>
      </c>
      <c r="B14" t="str">
        <f ca="1"/>
        <v>Cobblestone Realty Partners</v>
      </c>
      <c r="C14" t="s">
        <v>198</v>
      </c>
      <c r="D14" s="39" t="str">
        <f t="shared" ca="1" si="0"/>
        <v>O</v>
      </c>
      <c r="E14" t="s">
        <v>196</v>
      </c>
      <c r="F14" t="s">
        <v>194</v>
      </c>
      <c r="G14" s="36">
        <f t="shared" ca="1" si="1"/>
        <v>43944</v>
      </c>
      <c r="H14" s="25">
        <f t="shared" ca="1" si="2"/>
        <v>7155302454699</v>
      </c>
      <c r="I14" s="31" t="s">
        <v>34</v>
      </c>
      <c r="J14" s="36">
        <f t="shared" ca="1" si="3"/>
        <v>44889</v>
      </c>
      <c r="K14" s="25">
        <f t="shared" ca="1" si="4"/>
        <v>4454293504270</v>
      </c>
      <c r="L14" s="31" t="s">
        <v>34</v>
      </c>
    </row>
    <row r="15" spans="1:25">
      <c r="A15">
        <v>12</v>
      </c>
      <c r="B15" t="str">
        <f ca="1"/>
        <v>Apogee Property Advisors</v>
      </c>
      <c r="C15" t="s">
        <v>200</v>
      </c>
      <c r="D15" s="39" t="str">
        <f t="shared" ca="1" si="0"/>
        <v>A</v>
      </c>
      <c r="E15" t="s">
        <v>199</v>
      </c>
      <c r="F15" t="s">
        <v>197</v>
      </c>
      <c r="G15" s="36">
        <f t="shared" ca="1" si="1"/>
        <v>44122</v>
      </c>
      <c r="H15" s="25">
        <f t="shared" ca="1" si="2"/>
        <v>3372099185401</v>
      </c>
      <c r="I15" s="31" t="s">
        <v>34</v>
      </c>
      <c r="J15" s="36">
        <f t="shared" ca="1" si="3"/>
        <v>44701</v>
      </c>
      <c r="K15" s="25">
        <f t="shared" ca="1" si="4"/>
        <v>1702722219201</v>
      </c>
      <c r="L15" s="31" t="s">
        <v>34</v>
      </c>
    </row>
    <row r="16" spans="1:25">
      <c r="A16">
        <v>13</v>
      </c>
      <c r="B16" t="str">
        <f ca="1"/>
        <v>Echelon Private Client Realty</v>
      </c>
      <c r="C16" t="s">
        <v>201</v>
      </c>
      <c r="D16" s="39" t="str">
        <f t="shared" ca="1" si="0"/>
        <v>V</v>
      </c>
      <c r="E16" t="s">
        <v>190</v>
      </c>
      <c r="F16" t="s">
        <v>191</v>
      </c>
      <c r="G16" s="36">
        <f t="shared" ca="1" si="1"/>
        <v>44010</v>
      </c>
      <c r="H16" s="25">
        <f t="shared" ca="1" si="2"/>
        <v>2874571191863</v>
      </c>
      <c r="I16" s="31" t="s">
        <v>34</v>
      </c>
      <c r="J16" s="36">
        <f t="shared" ca="1" si="3"/>
        <v>44918</v>
      </c>
      <c r="K16" s="25">
        <f t="shared" ca="1" si="4"/>
        <v>8011407350615</v>
      </c>
      <c r="L16" s="31" t="s">
        <v>34</v>
      </c>
    </row>
    <row r="17" spans="1:12">
      <c r="A17">
        <v>14</v>
      </c>
      <c r="B17" t="str">
        <f ca="1"/>
        <v>Picket Fence Realty</v>
      </c>
      <c r="C17" t="s">
        <v>202</v>
      </c>
      <c r="D17" s="39" t="str">
        <f t="shared" ca="1" si="0"/>
        <v>H</v>
      </c>
      <c r="E17" t="s">
        <v>193</v>
      </c>
      <c r="F17" t="s">
        <v>194</v>
      </c>
      <c r="G17" s="36">
        <f t="shared" ca="1" si="1"/>
        <v>43835</v>
      </c>
      <c r="H17" s="25">
        <f t="shared" ca="1" si="2"/>
        <v>7551420941016</v>
      </c>
      <c r="I17" s="31" t="s">
        <v>34</v>
      </c>
      <c r="J17" s="36">
        <f t="shared" ca="1" si="3"/>
        <v>44624</v>
      </c>
      <c r="K17" s="25">
        <f t="shared" ca="1" si="4"/>
        <v>8430796159870</v>
      </c>
      <c r="L17" s="31" t="s">
        <v>34</v>
      </c>
    </row>
    <row r="18" spans="1:12">
      <c r="A18">
        <v>15</v>
      </c>
      <c r="B18" t="str">
        <f ca="1"/>
        <v>Equinox Partners Real Property</v>
      </c>
      <c r="C18" t="s">
        <v>189</v>
      </c>
      <c r="D18" s="39" t="str">
        <f t="shared" ca="1" si="0"/>
        <v>V</v>
      </c>
      <c r="E18" t="s">
        <v>196</v>
      </c>
      <c r="F18" t="s">
        <v>197</v>
      </c>
      <c r="G18" s="36">
        <f t="shared" ca="1" si="1"/>
        <v>44142</v>
      </c>
      <c r="H18" s="25">
        <f t="shared" ca="1" si="2"/>
        <v>7708960903927</v>
      </c>
      <c r="I18" s="31" t="s">
        <v>34</v>
      </c>
      <c r="J18" s="36">
        <f t="shared" ca="1" si="3"/>
        <v>44810</v>
      </c>
      <c r="K18" s="25">
        <f t="shared" ca="1" si="4"/>
        <v>1671573418030</v>
      </c>
      <c r="L18" s="31" t="s">
        <v>34</v>
      </c>
    </row>
    <row r="19" spans="1:12">
      <c r="A19">
        <v>16</v>
      </c>
      <c r="B19" t="str">
        <f ca="1"/>
        <v>Sunstone Property Advisors</v>
      </c>
      <c r="C19" t="s">
        <v>192</v>
      </c>
      <c r="D19" s="39" t="str">
        <f t="shared" ca="1" si="0"/>
        <v>X</v>
      </c>
      <c r="E19" t="s">
        <v>199</v>
      </c>
      <c r="F19" t="s">
        <v>191</v>
      </c>
      <c r="G19" s="36">
        <f t="shared" ca="1" si="1"/>
        <v>43935</v>
      </c>
      <c r="H19" s="25">
        <f t="shared" ca="1" si="2"/>
        <v>3658911773455</v>
      </c>
      <c r="I19" s="31" t="s">
        <v>34</v>
      </c>
      <c r="J19" s="36">
        <f t="shared" ca="1" si="3"/>
        <v>44616</v>
      </c>
      <c r="K19" s="25">
        <f t="shared" ca="1" si="4"/>
        <v>4729409605682</v>
      </c>
      <c r="L19" s="31" t="s">
        <v>34</v>
      </c>
    </row>
    <row r="20" spans="1:12">
      <c r="A20">
        <v>17</v>
      </c>
      <c r="B20" t="str">
        <f ca="1"/>
        <v>Siren Partners Real Estate</v>
      </c>
      <c r="C20" t="s">
        <v>195</v>
      </c>
      <c r="D20" s="39" t="str">
        <f t="shared" ca="1" si="0"/>
        <v>R</v>
      </c>
      <c r="E20" t="s">
        <v>190</v>
      </c>
      <c r="F20" t="s">
        <v>194</v>
      </c>
      <c r="G20" s="36">
        <f t="shared" ca="1" si="1"/>
        <v>44060</v>
      </c>
      <c r="H20" s="25">
        <f t="shared" ca="1" si="2"/>
        <v>2871342280734</v>
      </c>
      <c r="I20" s="31" t="s">
        <v>34</v>
      </c>
      <c r="J20" s="36">
        <f t="shared" ca="1" si="3"/>
        <v>44836</v>
      </c>
      <c r="K20" s="25">
        <f t="shared" ca="1" si="4"/>
        <v>3142567483625</v>
      </c>
      <c r="L20" s="31" t="s">
        <v>34</v>
      </c>
    </row>
    <row r="21" spans="1:12">
      <c r="A21">
        <v>18</v>
      </c>
      <c r="B21" t="str">
        <f ca="1"/>
        <v>Rise Real Estate</v>
      </c>
      <c r="C21" t="s">
        <v>198</v>
      </c>
      <c r="D21" s="39" t="str">
        <f t="shared" ca="1" si="0"/>
        <v>Y</v>
      </c>
      <c r="E21" t="s">
        <v>193</v>
      </c>
      <c r="F21" t="s">
        <v>197</v>
      </c>
      <c r="G21" s="36">
        <f t="shared" ca="1" si="1"/>
        <v>43857</v>
      </c>
      <c r="H21" s="25">
        <f t="shared" ca="1" si="2"/>
        <v>3454252301878</v>
      </c>
      <c r="I21" s="31" t="s">
        <v>34</v>
      </c>
      <c r="J21" s="36">
        <f t="shared" ca="1" si="3"/>
        <v>44887</v>
      </c>
      <c r="K21" s="25">
        <f t="shared" ca="1" si="4"/>
        <v>7412016468006</v>
      </c>
      <c r="L21" s="31" t="s">
        <v>34</v>
      </c>
    </row>
    <row r="22" spans="1:12">
      <c r="A22">
        <v>19</v>
      </c>
      <c r="B22" t="str">
        <f ca="1"/>
        <v>Forward Real Estate Advisors</v>
      </c>
      <c r="C22" t="s">
        <v>200</v>
      </c>
      <c r="D22" s="39" t="str">
        <f t="shared" ca="1" si="0"/>
        <v>O</v>
      </c>
      <c r="E22" t="s">
        <v>196</v>
      </c>
      <c r="F22" t="s">
        <v>191</v>
      </c>
      <c r="G22" s="36">
        <f t="shared" ca="1" si="1"/>
        <v>44122</v>
      </c>
      <c r="H22" s="25">
        <f t="shared" ca="1" si="2"/>
        <v>545540685987</v>
      </c>
      <c r="I22" s="31" t="s">
        <v>34</v>
      </c>
      <c r="J22" s="36">
        <f t="shared" ca="1" si="3"/>
        <v>44707</v>
      </c>
      <c r="K22" s="25">
        <f t="shared" ca="1" si="4"/>
        <v>3343642639299</v>
      </c>
      <c r="L22" s="31" t="s">
        <v>34</v>
      </c>
    </row>
    <row r="23" spans="1:12">
      <c r="A23">
        <v>20</v>
      </c>
      <c r="B23" t="str">
        <f ca="1"/>
        <v>Bluebell Real Estate</v>
      </c>
      <c r="C23" t="s">
        <v>201</v>
      </c>
      <c r="D23" s="39" t="str">
        <f t="shared" ca="1" si="0"/>
        <v>B</v>
      </c>
      <c r="E23" t="s">
        <v>199</v>
      </c>
      <c r="F23" t="s">
        <v>194</v>
      </c>
      <c r="G23" s="36">
        <f t="shared" ca="1" si="1"/>
        <v>44110</v>
      </c>
      <c r="H23" s="25">
        <f t="shared" ca="1" si="2"/>
        <v>1773555135013</v>
      </c>
      <c r="I23" s="31" t="s">
        <v>34</v>
      </c>
      <c r="J23" s="36">
        <f t="shared" ca="1" si="3"/>
        <v>44705</v>
      </c>
      <c r="K23" s="25">
        <f t="shared" ca="1" si="4"/>
        <v>7710184812001</v>
      </c>
      <c r="L23" s="31" t="s">
        <v>34</v>
      </c>
    </row>
    <row r="24" spans="1:12">
      <c r="A24">
        <v>21</v>
      </c>
      <c r="B24" t="str">
        <f ca="1"/>
        <v>Barrow Street Realty</v>
      </c>
      <c r="C24" t="s">
        <v>202</v>
      </c>
      <c r="D24" s="39" t="str">
        <f t="shared" ca="1" si="0"/>
        <v>D</v>
      </c>
      <c r="E24" t="s">
        <v>190</v>
      </c>
      <c r="F24" t="s">
        <v>197</v>
      </c>
      <c r="G24" s="36">
        <f t="shared" ca="1" si="1"/>
        <v>44111</v>
      </c>
      <c r="H24" s="25">
        <f t="shared" ca="1" si="2"/>
        <v>906808536814</v>
      </c>
      <c r="I24" s="31" t="s">
        <v>34</v>
      </c>
      <c r="J24" s="36">
        <f t="shared" ca="1" si="3"/>
        <v>44924</v>
      </c>
      <c r="K24" s="25">
        <f t="shared" ca="1" si="4"/>
        <v>4943408716264</v>
      </c>
      <c r="L24" s="31" t="s">
        <v>34</v>
      </c>
    </row>
    <row r="25" spans="1:12">
      <c r="A25">
        <v>22</v>
      </c>
      <c r="B25" t="str">
        <f ca="1"/>
        <v>Broadleaf Homes</v>
      </c>
      <c r="C25" t="s">
        <v>189</v>
      </c>
      <c r="D25" s="39" t="str">
        <f t="shared" ca="1" si="0"/>
        <v>J</v>
      </c>
      <c r="E25" t="s">
        <v>193</v>
      </c>
      <c r="F25" t="s">
        <v>191</v>
      </c>
      <c r="G25" s="36">
        <f t="shared" ca="1" si="1"/>
        <v>44156</v>
      </c>
      <c r="H25" s="25">
        <f t="shared" ca="1" si="2"/>
        <v>1849113763592</v>
      </c>
      <c r="I25" s="31" t="s">
        <v>34</v>
      </c>
      <c r="J25" s="36">
        <f t="shared" ca="1" si="3"/>
        <v>44665</v>
      </c>
      <c r="K25" s="25">
        <f t="shared" ca="1" si="4"/>
        <v>3340586876091</v>
      </c>
      <c r="L25" s="31" t="s">
        <v>34</v>
      </c>
    </row>
    <row r="26" spans="1:12">
      <c r="A26">
        <v>23</v>
      </c>
      <c r="B26" t="str">
        <f ca="1"/>
        <v>Blue Slate Realty</v>
      </c>
      <c r="C26" t="s">
        <v>192</v>
      </c>
      <c r="D26" s="39" t="str">
        <f t="shared" ca="1" si="0"/>
        <v>H</v>
      </c>
      <c r="E26" t="s">
        <v>196</v>
      </c>
      <c r="F26" t="s">
        <v>194</v>
      </c>
      <c r="G26" s="36">
        <f t="shared" ca="1" si="1"/>
        <v>44118</v>
      </c>
      <c r="H26" s="25">
        <f t="shared" ca="1" si="2"/>
        <v>5533644401839</v>
      </c>
      <c r="I26" s="31" t="s">
        <v>34</v>
      </c>
      <c r="J26" s="36">
        <f t="shared" ca="1" si="3"/>
        <v>44583</v>
      </c>
      <c r="K26" s="25">
        <f t="shared" ca="1" si="4"/>
        <v>6864614004035</v>
      </c>
      <c r="L26" s="31" t="s">
        <v>34</v>
      </c>
    </row>
    <row r="27" spans="1:12">
      <c r="A27">
        <v>24</v>
      </c>
      <c r="B27" t="str">
        <f ca="1"/>
        <v>Stellar Property Advisors</v>
      </c>
      <c r="C27" t="s">
        <v>195</v>
      </c>
      <c r="D27" s="39" t="str">
        <f t="shared" ca="1" si="0"/>
        <v>K</v>
      </c>
      <c r="E27" t="s">
        <v>199</v>
      </c>
      <c r="F27" t="s">
        <v>197</v>
      </c>
      <c r="G27" s="36">
        <f t="shared" ca="1" si="1"/>
        <v>44067</v>
      </c>
      <c r="H27" s="25">
        <f t="shared" ca="1" si="2"/>
        <v>5557976864063</v>
      </c>
      <c r="I27" s="31" t="s">
        <v>34</v>
      </c>
      <c r="J27" s="36">
        <f t="shared" ca="1" si="3"/>
        <v>44921</v>
      </c>
      <c r="K27" s="25">
        <f t="shared" ca="1" si="4"/>
        <v>8779538199147</v>
      </c>
      <c r="L27" s="31" t="s">
        <v>34</v>
      </c>
    </row>
    <row r="28" spans="1:12">
      <c r="A28">
        <v>25</v>
      </c>
      <c r="B28" t="str">
        <f ca="1"/>
        <v>Found Property Group</v>
      </c>
      <c r="C28" t="s">
        <v>198</v>
      </c>
      <c r="D28" s="39" t="str">
        <f t="shared" ca="1" si="0"/>
        <v>J</v>
      </c>
      <c r="E28" t="s">
        <v>190</v>
      </c>
      <c r="F28" t="s">
        <v>191</v>
      </c>
      <c r="G28" s="36">
        <f t="shared" ca="1" si="1"/>
        <v>44153</v>
      </c>
      <c r="H28" s="25">
        <f t="shared" ca="1" si="2"/>
        <v>3444478178348</v>
      </c>
      <c r="I28" s="31" t="s">
        <v>34</v>
      </c>
      <c r="J28" s="36">
        <f t="shared" ca="1" si="3"/>
        <v>44634</v>
      </c>
      <c r="K28" s="25">
        <f t="shared" ca="1" si="4"/>
        <v>4789417971124</v>
      </c>
      <c r="L28" s="31" t="s">
        <v>34</v>
      </c>
    </row>
    <row r="29" spans="1:12">
      <c r="A29">
        <v>26</v>
      </c>
      <c r="B29" t="str">
        <f ca="1"/>
        <v>Axis Group Real Estate</v>
      </c>
      <c r="C29" t="s">
        <v>200</v>
      </c>
      <c r="D29" s="39" t="str">
        <f t="shared" ca="1" si="0"/>
        <v>N</v>
      </c>
      <c r="E29" t="s">
        <v>193</v>
      </c>
      <c r="F29" t="s">
        <v>194</v>
      </c>
      <c r="G29" s="36">
        <f t="shared" ca="1" si="1"/>
        <v>44002</v>
      </c>
      <c r="H29" s="25">
        <f t="shared" ca="1" si="2"/>
        <v>6332148615666</v>
      </c>
      <c r="I29" s="31" t="s">
        <v>34</v>
      </c>
      <c r="J29" s="36">
        <f t="shared" ca="1" si="3"/>
        <v>44658</v>
      </c>
      <c r="K29" s="25">
        <f t="shared" ca="1" si="4"/>
        <v>1035123771341</v>
      </c>
      <c r="L29" s="31" t="s">
        <v>34</v>
      </c>
    </row>
    <row r="30" spans="1:12">
      <c r="A30">
        <v>27</v>
      </c>
      <c r="B30" t="str">
        <f ca="1"/>
        <v>Picket Fence Realty</v>
      </c>
      <c r="C30" t="s">
        <v>201</v>
      </c>
      <c r="D30" s="39" t="str">
        <f t="shared" ca="1" si="0"/>
        <v>P</v>
      </c>
      <c r="E30" t="s">
        <v>196</v>
      </c>
      <c r="F30" t="s">
        <v>197</v>
      </c>
      <c r="G30" s="36">
        <f t="shared" ca="1" si="1"/>
        <v>43949</v>
      </c>
      <c r="H30" s="25">
        <f t="shared" ca="1" si="2"/>
        <v>8575053474841</v>
      </c>
      <c r="I30" s="31" t="s">
        <v>34</v>
      </c>
      <c r="J30" s="36">
        <f t="shared" ca="1" si="3"/>
        <v>44827</v>
      </c>
      <c r="K30" s="25">
        <f t="shared" ca="1" si="4"/>
        <v>5054517317314</v>
      </c>
      <c r="L30" s="31" t="s">
        <v>34</v>
      </c>
    </row>
    <row r="31" spans="1:12">
      <c r="A31">
        <v>28</v>
      </c>
      <c r="B31" t="str">
        <f ca="1"/>
        <v>Summerwood Group</v>
      </c>
      <c r="C31" t="s">
        <v>202</v>
      </c>
      <c r="D31" s="39" t="str">
        <f t="shared" ca="1" si="0"/>
        <v>X</v>
      </c>
      <c r="E31" t="s">
        <v>199</v>
      </c>
      <c r="F31" t="s">
        <v>191</v>
      </c>
      <c r="G31" s="36">
        <f t="shared" ca="1" si="1"/>
        <v>44155</v>
      </c>
      <c r="H31" s="25">
        <f t="shared" ca="1" si="2"/>
        <v>4517950752519</v>
      </c>
      <c r="I31" s="31" t="s">
        <v>34</v>
      </c>
      <c r="J31" s="36">
        <f t="shared" ca="1" si="3"/>
        <v>44914</v>
      </c>
      <c r="K31" s="25">
        <f t="shared" ca="1" si="4"/>
        <v>6896879922334</v>
      </c>
      <c r="L31" s="31" t="s">
        <v>34</v>
      </c>
    </row>
    <row r="32" spans="1:12">
      <c r="A32">
        <v>29</v>
      </c>
      <c r="B32" t="str">
        <f ca="1"/>
        <v>Cardinal Realty</v>
      </c>
      <c r="C32" t="s">
        <v>189</v>
      </c>
      <c r="D32" s="39" t="str">
        <f t="shared" ca="1" si="0"/>
        <v>R</v>
      </c>
      <c r="E32" t="s">
        <v>190</v>
      </c>
      <c r="F32" t="s">
        <v>194</v>
      </c>
      <c r="G32" s="36">
        <f t="shared" ca="1" si="1"/>
        <v>43953</v>
      </c>
      <c r="H32" s="25">
        <f t="shared" ca="1" si="2"/>
        <v>3269922171215</v>
      </c>
      <c r="I32" s="31" t="s">
        <v>34</v>
      </c>
      <c r="J32" s="36">
        <f t="shared" ca="1" si="3"/>
        <v>44827</v>
      </c>
      <c r="K32" s="25">
        <f t="shared" ca="1" si="4"/>
        <v>7736392270550</v>
      </c>
      <c r="L32" s="31" t="s">
        <v>34</v>
      </c>
    </row>
    <row r="33" spans="1:12">
      <c r="A33">
        <v>30</v>
      </c>
      <c r="B33" t="str">
        <f ca="1"/>
        <v>Picket Fence Realty</v>
      </c>
      <c r="C33" t="s">
        <v>192</v>
      </c>
      <c r="D33" s="39" t="str">
        <f t="shared" ca="1" si="0"/>
        <v>R</v>
      </c>
      <c r="E33" t="s">
        <v>193</v>
      </c>
      <c r="F33" t="s">
        <v>197</v>
      </c>
      <c r="G33" s="36">
        <f t="shared" ca="1" si="1"/>
        <v>44180</v>
      </c>
      <c r="H33" s="25">
        <f t="shared" ca="1" si="2"/>
        <v>3028813400702</v>
      </c>
      <c r="I33" s="31" t="s">
        <v>34</v>
      </c>
      <c r="J33" s="36">
        <f t="shared" ca="1" si="3"/>
        <v>44603</v>
      </c>
      <c r="K33" s="25">
        <f t="shared" ca="1" si="4"/>
        <v>4300378481929</v>
      </c>
      <c r="L33" s="31" t="s">
        <v>34</v>
      </c>
    </row>
    <row r="34" spans="1:12">
      <c r="A34">
        <v>31</v>
      </c>
      <c r="B34" t="str">
        <f ca="1"/>
        <v>Devoe Partners</v>
      </c>
      <c r="C34" t="s">
        <v>195</v>
      </c>
      <c r="D34" s="39" t="str">
        <f t="shared" ca="1" si="0"/>
        <v>U</v>
      </c>
      <c r="E34" t="s">
        <v>196</v>
      </c>
      <c r="F34" t="s">
        <v>191</v>
      </c>
      <c r="G34" s="36">
        <f t="shared" ca="1" si="1"/>
        <v>44142</v>
      </c>
      <c r="H34" s="25">
        <f t="shared" ca="1" si="2"/>
        <v>7103313893872</v>
      </c>
      <c r="I34" s="31" t="s">
        <v>34</v>
      </c>
      <c r="J34" s="36">
        <f t="shared" ca="1" si="3"/>
        <v>44826</v>
      </c>
      <c r="K34" s="25">
        <f t="shared" ca="1" si="4"/>
        <v>7326855422940</v>
      </c>
      <c r="L34" s="31" t="s">
        <v>34</v>
      </c>
    </row>
    <row r="35" spans="1:12">
      <c r="A35">
        <v>32</v>
      </c>
      <c r="B35" t="str">
        <f ca="1"/>
        <v>Equitable Property Group</v>
      </c>
      <c r="C35" t="s">
        <v>198</v>
      </c>
      <c r="D35" s="39" t="str">
        <f t="shared" ca="1" si="0"/>
        <v>D</v>
      </c>
      <c r="E35" t="s">
        <v>199</v>
      </c>
      <c r="F35" t="s">
        <v>194</v>
      </c>
      <c r="G35" s="36">
        <f t="shared" ca="1" si="1"/>
        <v>44150</v>
      </c>
      <c r="H35" s="25">
        <f t="shared" ca="1" si="2"/>
        <v>5731812432484</v>
      </c>
      <c r="I35" s="31" t="s">
        <v>34</v>
      </c>
      <c r="J35" s="36">
        <f t="shared" ca="1" si="3"/>
        <v>44612</v>
      </c>
      <c r="K35" s="25">
        <f t="shared" ca="1" si="4"/>
        <v>4181288927217</v>
      </c>
      <c r="L35" s="31" t="s">
        <v>34</v>
      </c>
    </row>
    <row r="36" spans="1:12">
      <c r="A36">
        <v>33</v>
      </c>
      <c r="B36" t="str">
        <f ca="1"/>
        <v>Apogee Property Advisors</v>
      </c>
      <c r="C36" t="s">
        <v>200</v>
      </c>
      <c r="D36" s="39" t="str">
        <f t="shared" ca="1" si="0"/>
        <v>I</v>
      </c>
      <c r="E36" t="s">
        <v>190</v>
      </c>
      <c r="F36" t="s">
        <v>197</v>
      </c>
      <c r="G36" s="36">
        <f t="shared" ca="1" si="1"/>
        <v>44192</v>
      </c>
      <c r="H36" s="25">
        <f t="shared" ca="1" si="2"/>
        <v>1508048433991</v>
      </c>
      <c r="I36" s="31" t="s">
        <v>34</v>
      </c>
      <c r="J36" s="36">
        <f t="shared" ca="1" si="3"/>
        <v>44704</v>
      </c>
      <c r="K36" s="25">
        <f t="shared" ca="1" si="4"/>
        <v>3388370029178</v>
      </c>
      <c r="L36" s="31" t="s">
        <v>34</v>
      </c>
    </row>
    <row r="37" spans="1:12">
      <c r="A37">
        <v>34</v>
      </c>
      <c r="B37" t="str">
        <f ca="1"/>
        <v>Landmark Realty Group</v>
      </c>
      <c r="C37" t="s">
        <v>201</v>
      </c>
      <c r="D37" s="39" t="str">
        <f t="shared" ca="1" si="0"/>
        <v>W</v>
      </c>
      <c r="E37" t="s">
        <v>193</v>
      </c>
      <c r="F37" t="s">
        <v>191</v>
      </c>
      <c r="G37" s="36">
        <f t="shared" ca="1" si="1"/>
        <v>44038</v>
      </c>
      <c r="H37" s="25">
        <f t="shared" ca="1" si="2"/>
        <v>3730224243986</v>
      </c>
      <c r="I37" s="31" t="s">
        <v>34</v>
      </c>
      <c r="J37" s="36">
        <f t="shared" ca="1" si="3"/>
        <v>44860</v>
      </c>
      <c r="K37" s="25">
        <f t="shared" ca="1" si="4"/>
        <v>648888043441</v>
      </c>
      <c r="L37" s="31" t="s">
        <v>34</v>
      </c>
    </row>
    <row r="38" spans="1:12">
      <c r="A38">
        <v>35</v>
      </c>
      <c r="B38" t="str">
        <f ca="1"/>
        <v>Bluebell Real Estate</v>
      </c>
      <c r="C38" t="s">
        <v>202</v>
      </c>
      <c r="D38" s="39" t="str">
        <f t="shared" ca="1" si="0"/>
        <v>J</v>
      </c>
      <c r="E38" t="s">
        <v>196</v>
      </c>
      <c r="F38" t="s">
        <v>194</v>
      </c>
      <c r="G38" s="36">
        <f t="shared" ca="1" si="1"/>
        <v>43936</v>
      </c>
      <c r="H38" s="25">
        <f t="shared" ca="1" si="2"/>
        <v>6006707113691</v>
      </c>
      <c r="I38" s="31" t="s">
        <v>34</v>
      </c>
      <c r="J38" s="36">
        <f t="shared" ca="1" si="3"/>
        <v>44761</v>
      </c>
      <c r="K38" s="25">
        <f t="shared" ca="1" si="4"/>
        <v>2923735248929</v>
      </c>
      <c r="L38" s="31" t="s">
        <v>34</v>
      </c>
    </row>
    <row r="39" spans="1:12">
      <c r="A39">
        <v>36</v>
      </c>
      <c r="B39" t="str">
        <f ca="1"/>
        <v>Nestled Real Estate</v>
      </c>
      <c r="C39" t="s">
        <v>189</v>
      </c>
      <c r="D39" s="39" t="str">
        <f t="shared" ca="1" si="0"/>
        <v>B</v>
      </c>
      <c r="E39" t="s">
        <v>199</v>
      </c>
      <c r="F39" t="s">
        <v>197</v>
      </c>
      <c r="G39" s="36">
        <f t="shared" ca="1" si="1"/>
        <v>44190</v>
      </c>
      <c r="H39" s="25">
        <f t="shared" ca="1" si="2"/>
        <v>3474224943968</v>
      </c>
      <c r="I39" s="31" t="s">
        <v>34</v>
      </c>
      <c r="J39" s="36">
        <f t="shared" ca="1" si="3"/>
        <v>44899</v>
      </c>
      <c r="K39" s="25">
        <f t="shared" ca="1" si="4"/>
        <v>4548060715099</v>
      </c>
      <c r="L39" s="31" t="s">
        <v>34</v>
      </c>
    </row>
    <row r="40" spans="1:12">
      <c r="A40">
        <v>37</v>
      </c>
      <c r="B40" t="str">
        <f ca="1"/>
        <v>Shipwright Realty</v>
      </c>
      <c r="C40" t="s">
        <v>192</v>
      </c>
      <c r="D40" s="39" t="str">
        <f t="shared" ca="1" si="0"/>
        <v>L</v>
      </c>
      <c r="E40" t="s">
        <v>190</v>
      </c>
      <c r="F40" t="s">
        <v>191</v>
      </c>
      <c r="G40" s="36">
        <f t="shared" ca="1" si="1"/>
        <v>43844</v>
      </c>
      <c r="H40" s="25">
        <f t="shared" ca="1" si="2"/>
        <v>3893445895350</v>
      </c>
      <c r="I40" s="31" t="s">
        <v>34</v>
      </c>
      <c r="J40" s="36">
        <f t="shared" ca="1" si="3"/>
        <v>44562</v>
      </c>
      <c r="K40" s="25">
        <f t="shared" ca="1" si="4"/>
        <v>7855346503663</v>
      </c>
      <c r="L40" s="31" t="s">
        <v>34</v>
      </c>
    </row>
    <row r="41" spans="1:12">
      <c r="A41">
        <v>38</v>
      </c>
      <c r="B41" t="str">
        <f ca="1"/>
        <v>Corsair Real Estate</v>
      </c>
      <c r="C41" t="s">
        <v>195</v>
      </c>
      <c r="D41" s="39" t="str">
        <f t="shared" ca="1" si="0"/>
        <v>H</v>
      </c>
      <c r="E41" t="s">
        <v>193</v>
      </c>
      <c r="F41" t="s">
        <v>194</v>
      </c>
      <c r="G41" s="36">
        <f t="shared" ca="1" si="1"/>
        <v>44103</v>
      </c>
      <c r="H41" s="25">
        <f t="shared" ca="1" si="2"/>
        <v>2328374190756</v>
      </c>
      <c r="I41" s="31" t="s">
        <v>34</v>
      </c>
      <c r="J41" s="36">
        <f t="shared" ca="1" si="3"/>
        <v>44838</v>
      </c>
      <c r="K41" s="25">
        <f t="shared" ca="1" si="4"/>
        <v>237757018627</v>
      </c>
      <c r="L41" s="31" t="s">
        <v>34</v>
      </c>
    </row>
    <row r="42" spans="1:12">
      <c r="A42">
        <v>39</v>
      </c>
      <c r="B42" t="str">
        <f ca="1"/>
        <v>Champion Real Estate Advisors</v>
      </c>
      <c r="C42" t="s">
        <v>198</v>
      </c>
      <c r="D42" s="39" t="str">
        <f t="shared" ca="1" si="0"/>
        <v>D</v>
      </c>
      <c r="E42" t="s">
        <v>196</v>
      </c>
      <c r="F42" t="s">
        <v>197</v>
      </c>
      <c r="G42" s="36">
        <f t="shared" ca="1" si="1"/>
        <v>43950</v>
      </c>
      <c r="H42" s="25">
        <f t="shared" ca="1" si="2"/>
        <v>3447239693791</v>
      </c>
      <c r="I42" s="31" t="s">
        <v>34</v>
      </c>
      <c r="J42" s="36">
        <f t="shared" ca="1" si="3"/>
        <v>44920</v>
      </c>
      <c r="K42" s="25">
        <f t="shared" ca="1" si="4"/>
        <v>3363029781903</v>
      </c>
      <c r="L42" s="31" t="s">
        <v>34</v>
      </c>
    </row>
    <row r="43" spans="1:12">
      <c r="A43">
        <v>40</v>
      </c>
      <c r="B43" t="str">
        <f ca="1"/>
        <v>Magnolia Group Real Estate</v>
      </c>
      <c r="C43" t="s">
        <v>200</v>
      </c>
      <c r="D43" s="39" t="str">
        <f t="shared" ca="1" si="0"/>
        <v>J</v>
      </c>
      <c r="E43" t="s">
        <v>199</v>
      </c>
      <c r="F43" t="s">
        <v>191</v>
      </c>
      <c r="G43" s="36">
        <f t="shared" ca="1" si="1"/>
        <v>43885</v>
      </c>
      <c r="H43" s="25">
        <f t="shared" ca="1" si="2"/>
        <v>3255278785625</v>
      </c>
      <c r="I43" s="31" t="s">
        <v>34</v>
      </c>
      <c r="J43" s="36">
        <f t="shared" ca="1" si="3"/>
        <v>44808</v>
      </c>
      <c r="K43" s="25">
        <f t="shared" ca="1" si="4"/>
        <v>8029872127059</v>
      </c>
      <c r="L43" s="31" t="s">
        <v>34</v>
      </c>
    </row>
    <row r="44" spans="1:12">
      <c r="A44">
        <v>41</v>
      </c>
      <c r="B44" t="str">
        <f ca="1"/>
        <v>Nova Group Real Estate</v>
      </c>
      <c r="C44" t="s">
        <v>201</v>
      </c>
      <c r="D44" s="39" t="str">
        <f t="shared" ca="1" si="0"/>
        <v>Y</v>
      </c>
      <c r="E44" t="s">
        <v>190</v>
      </c>
      <c r="F44" t="s">
        <v>194</v>
      </c>
      <c r="G44" s="36">
        <f t="shared" ca="1" si="1"/>
        <v>43847</v>
      </c>
      <c r="H44" s="25">
        <f t="shared" ca="1" si="2"/>
        <v>6424923225031</v>
      </c>
      <c r="I44" s="31" t="s">
        <v>34</v>
      </c>
      <c r="J44" s="36">
        <f t="shared" ca="1" si="3"/>
        <v>44852</v>
      </c>
      <c r="K44" s="25">
        <f t="shared" ca="1" si="4"/>
        <v>6560620177000</v>
      </c>
      <c r="L44" s="31" t="s">
        <v>34</v>
      </c>
    </row>
    <row r="45" spans="1:12">
      <c r="A45">
        <v>42</v>
      </c>
      <c r="B45" t="str">
        <f ca="1"/>
        <v>Jasper Realty</v>
      </c>
      <c r="C45" t="s">
        <v>202</v>
      </c>
      <c r="D45" s="39" t="str">
        <f t="shared" ca="1" si="0"/>
        <v>C</v>
      </c>
      <c r="E45" t="s">
        <v>193</v>
      </c>
      <c r="F45" t="s">
        <v>197</v>
      </c>
      <c r="G45" s="36">
        <f t="shared" ca="1" si="1"/>
        <v>44124</v>
      </c>
      <c r="H45" s="25">
        <f t="shared" ca="1" si="2"/>
        <v>7852174440902</v>
      </c>
      <c r="I45" s="31" t="s">
        <v>34</v>
      </c>
      <c r="J45" s="36">
        <f t="shared" ca="1" si="3"/>
        <v>44640</v>
      </c>
      <c r="K45" s="25">
        <f t="shared" ca="1" si="4"/>
        <v>4709125245340</v>
      </c>
      <c r="L45" s="31" t="s">
        <v>34</v>
      </c>
    </row>
    <row r="46" spans="1:12">
      <c r="A46">
        <v>43</v>
      </c>
      <c r="B46" t="str">
        <f ca="1"/>
        <v>Devoe Partners</v>
      </c>
      <c r="C46" t="s">
        <v>189</v>
      </c>
      <c r="D46" s="39" t="str">
        <f t="shared" ca="1" si="0"/>
        <v>E</v>
      </c>
      <c r="E46" t="s">
        <v>196</v>
      </c>
      <c r="F46" t="s">
        <v>191</v>
      </c>
      <c r="G46" s="36">
        <f t="shared" ca="1" si="1"/>
        <v>44192</v>
      </c>
      <c r="H46" s="25">
        <f t="shared" ca="1" si="2"/>
        <v>4537983770208</v>
      </c>
      <c r="I46" s="31" t="s">
        <v>34</v>
      </c>
      <c r="J46" s="36">
        <f t="shared" ca="1" si="3"/>
        <v>44698</v>
      </c>
      <c r="K46" s="25">
        <f t="shared" ca="1" si="4"/>
        <v>6104099502959</v>
      </c>
      <c r="L46" s="31" t="s">
        <v>34</v>
      </c>
    </row>
    <row r="47" spans="1:12">
      <c r="A47">
        <v>44</v>
      </c>
      <c r="B47" t="str">
        <f ca="1"/>
        <v>Siren Partners Real Estate</v>
      </c>
      <c r="C47" t="s">
        <v>192</v>
      </c>
      <c r="D47" s="39" t="str">
        <f t="shared" ca="1" si="0"/>
        <v>C</v>
      </c>
      <c r="E47" t="s">
        <v>199</v>
      </c>
      <c r="F47" t="s">
        <v>194</v>
      </c>
      <c r="G47" s="36">
        <f t="shared" ca="1" si="1"/>
        <v>43871</v>
      </c>
      <c r="H47" s="25">
        <f t="shared" ca="1" si="2"/>
        <v>1442445809537</v>
      </c>
      <c r="I47" s="31" t="s">
        <v>34</v>
      </c>
      <c r="J47" s="36">
        <f t="shared" ca="1" si="3"/>
        <v>44744</v>
      </c>
      <c r="K47" s="25">
        <f t="shared" ca="1" si="4"/>
        <v>4978430517965</v>
      </c>
      <c r="L47" s="31" t="s">
        <v>34</v>
      </c>
    </row>
    <row r="48" spans="1:12">
      <c r="A48">
        <v>45</v>
      </c>
      <c r="B48" t="str">
        <f ca="1"/>
        <v>Broadleaf Homes</v>
      </c>
      <c r="C48" t="s">
        <v>195</v>
      </c>
      <c r="D48" s="39" t="str">
        <f t="shared" ca="1" si="0"/>
        <v>U</v>
      </c>
      <c r="E48" t="s">
        <v>190</v>
      </c>
      <c r="F48" t="s">
        <v>197</v>
      </c>
      <c r="G48" s="36">
        <f t="shared" ca="1" si="1"/>
        <v>44038</v>
      </c>
      <c r="H48" s="25">
        <f t="shared" ca="1" si="2"/>
        <v>2821063255909</v>
      </c>
      <c r="I48" s="31" t="s">
        <v>34</v>
      </c>
      <c r="J48" s="36">
        <f t="shared" ca="1" si="3"/>
        <v>44605</v>
      </c>
      <c r="K48" s="25">
        <f t="shared" ca="1" si="4"/>
        <v>7135397217407</v>
      </c>
      <c r="L48" s="31" t="s">
        <v>34</v>
      </c>
    </row>
    <row r="49" spans="1:12">
      <c r="A49">
        <v>46</v>
      </c>
      <c r="B49" t="str">
        <f ca="1"/>
        <v>Herringbone Realty</v>
      </c>
      <c r="C49" t="s">
        <v>198</v>
      </c>
      <c r="D49" s="39" t="str">
        <f t="shared" ca="1" si="0"/>
        <v>W</v>
      </c>
      <c r="E49" t="s">
        <v>193</v>
      </c>
      <c r="F49" t="s">
        <v>191</v>
      </c>
      <c r="G49" s="36">
        <f t="shared" ca="1" si="1"/>
        <v>44167</v>
      </c>
      <c r="H49" s="25">
        <f t="shared" ca="1" si="2"/>
        <v>5357831427962</v>
      </c>
      <c r="I49" s="31" t="s">
        <v>34</v>
      </c>
      <c r="J49" s="36">
        <f t="shared" ca="1" si="3"/>
        <v>44834</v>
      </c>
      <c r="K49" s="25">
        <f t="shared" ca="1" si="4"/>
        <v>1400291837226</v>
      </c>
      <c r="L49" s="31" t="s">
        <v>34</v>
      </c>
    </row>
    <row r="50" spans="1:12">
      <c r="A50">
        <v>47</v>
      </c>
      <c r="B50" t="str">
        <f ca="1"/>
        <v>Apogee Property Advisors</v>
      </c>
      <c r="C50" t="s">
        <v>200</v>
      </c>
      <c r="D50" s="39" t="str">
        <f t="shared" ca="1" si="0"/>
        <v>M</v>
      </c>
      <c r="E50" t="s">
        <v>196</v>
      </c>
      <c r="F50" t="s">
        <v>194</v>
      </c>
      <c r="G50" s="36">
        <f t="shared" ca="1" si="1"/>
        <v>43865</v>
      </c>
      <c r="H50" s="25">
        <f t="shared" ca="1" si="2"/>
        <v>8491856774585</v>
      </c>
      <c r="I50" s="31" t="s">
        <v>34</v>
      </c>
      <c r="J50" s="36">
        <f t="shared" ca="1" si="3"/>
        <v>44758</v>
      </c>
      <c r="K50" s="25">
        <f t="shared" ca="1" si="4"/>
        <v>3376923358222</v>
      </c>
      <c r="L50" s="31" t="s">
        <v>34</v>
      </c>
    </row>
    <row r="51" spans="1:12">
      <c r="A51">
        <v>48</v>
      </c>
      <c r="B51" t="str">
        <f ca="1"/>
        <v>Sunstone Property Advisors</v>
      </c>
      <c r="C51" t="s">
        <v>201</v>
      </c>
      <c r="D51" s="39" t="str">
        <f t="shared" ca="1" si="0"/>
        <v>G</v>
      </c>
      <c r="E51" t="s">
        <v>199</v>
      </c>
      <c r="F51" t="s">
        <v>197</v>
      </c>
      <c r="G51" s="36">
        <f t="shared" ca="1" si="1"/>
        <v>43964</v>
      </c>
      <c r="H51" s="25">
        <f t="shared" ca="1" si="2"/>
        <v>7075016834357</v>
      </c>
      <c r="I51" s="31" t="s">
        <v>34</v>
      </c>
      <c r="J51" s="36">
        <f t="shared" ca="1" si="3"/>
        <v>44808</v>
      </c>
      <c r="K51" s="25">
        <f t="shared" ca="1" si="4"/>
        <v>7911580094760</v>
      </c>
      <c r="L51" s="31" t="s">
        <v>34</v>
      </c>
    </row>
    <row r="52" spans="1:12">
      <c r="A52">
        <v>49</v>
      </c>
      <c r="B52" t="str">
        <f ca="1"/>
        <v>Corsair Real Estate</v>
      </c>
      <c r="C52" t="s">
        <v>202</v>
      </c>
      <c r="D52" s="39" t="str">
        <f t="shared" ca="1" si="0"/>
        <v>E</v>
      </c>
      <c r="E52" t="s">
        <v>190</v>
      </c>
      <c r="F52" t="s">
        <v>191</v>
      </c>
      <c r="G52" s="36">
        <f t="shared" ca="1" si="1"/>
        <v>43949</v>
      </c>
      <c r="H52" s="25">
        <f t="shared" ca="1" si="2"/>
        <v>3439357113733</v>
      </c>
      <c r="I52" s="31" t="s">
        <v>34</v>
      </c>
      <c r="J52" s="36">
        <f t="shared" ca="1" si="3"/>
        <v>44868</v>
      </c>
      <c r="K52" s="25">
        <f t="shared" ca="1" si="4"/>
        <v>5260074065698</v>
      </c>
      <c r="L52" s="31" t="s">
        <v>34</v>
      </c>
    </row>
    <row r="53" spans="1:12">
      <c r="A53">
        <v>50</v>
      </c>
      <c r="B53" t="str">
        <f ca="1"/>
        <v>Golden Meadows Property Group</v>
      </c>
      <c r="C53" t="s">
        <v>189</v>
      </c>
      <c r="D53" s="39" t="str">
        <f t="shared" ca="1" si="0"/>
        <v>C</v>
      </c>
      <c r="E53" t="s">
        <v>193</v>
      </c>
      <c r="F53" t="s">
        <v>194</v>
      </c>
      <c r="G53" s="36">
        <f t="shared" ca="1" si="1"/>
        <v>43969</v>
      </c>
      <c r="H53" s="25">
        <f t="shared" ca="1" si="2"/>
        <v>6491414480593</v>
      </c>
      <c r="I53" s="31" t="s">
        <v>34</v>
      </c>
      <c r="J53" s="36">
        <f t="shared" ca="1" si="3"/>
        <v>44910</v>
      </c>
      <c r="K53" s="25">
        <f t="shared" ca="1" si="4"/>
        <v>1998756407131</v>
      </c>
      <c r="L53" s="31" t="s">
        <v>34</v>
      </c>
    </row>
    <row r="54" spans="1:12">
      <c r="A54">
        <v>51</v>
      </c>
      <c r="B54" t="str">
        <f ca="1"/>
        <v>Red Coral Realty</v>
      </c>
      <c r="C54" t="s">
        <v>192</v>
      </c>
      <c r="D54" s="39" t="str">
        <f t="shared" ca="1" si="0"/>
        <v>Z</v>
      </c>
      <c r="E54" t="s">
        <v>196</v>
      </c>
      <c r="F54" t="s">
        <v>197</v>
      </c>
      <c r="G54" s="36">
        <f t="shared" ca="1" si="1"/>
        <v>43863</v>
      </c>
      <c r="H54" s="25">
        <f t="shared" ca="1" si="2"/>
        <v>6252451203893</v>
      </c>
      <c r="I54" s="31" t="s">
        <v>34</v>
      </c>
      <c r="J54" s="36">
        <f t="shared" ca="1" si="3"/>
        <v>44816</v>
      </c>
      <c r="K54" s="25">
        <f t="shared" ca="1" si="4"/>
        <v>4824957113061</v>
      </c>
      <c r="L54" s="31" t="s">
        <v>34</v>
      </c>
    </row>
    <row r="55" spans="1:12">
      <c r="A55">
        <v>52</v>
      </c>
      <c r="B55" t="str">
        <f ca="1"/>
        <v>Shipwright Realty</v>
      </c>
      <c r="C55" t="s">
        <v>195</v>
      </c>
      <c r="D55" s="39" t="str">
        <f t="shared" ca="1" si="0"/>
        <v>C</v>
      </c>
      <c r="E55" t="s">
        <v>199</v>
      </c>
      <c r="F55" t="s">
        <v>191</v>
      </c>
      <c r="G55" s="36">
        <f t="shared" ca="1" si="1"/>
        <v>44149</v>
      </c>
      <c r="H55" s="25">
        <f t="shared" ca="1" si="2"/>
        <v>2217951580015</v>
      </c>
      <c r="I55" s="31" t="s">
        <v>34</v>
      </c>
      <c r="J55" s="36">
        <f t="shared" ca="1" si="3"/>
        <v>44835</v>
      </c>
      <c r="K55" s="25">
        <f t="shared" ca="1" si="4"/>
        <v>1487231568811</v>
      </c>
      <c r="L55" s="31" t="s">
        <v>34</v>
      </c>
    </row>
    <row r="56" spans="1:12">
      <c r="A56">
        <v>53</v>
      </c>
      <c r="B56" t="str">
        <f ca="1"/>
        <v>Cobblestone Realty Partners</v>
      </c>
      <c r="C56" t="s">
        <v>198</v>
      </c>
      <c r="D56" s="39" t="str">
        <f t="shared" ca="1" si="0"/>
        <v>P</v>
      </c>
      <c r="E56" t="s">
        <v>190</v>
      </c>
      <c r="F56" t="s">
        <v>194</v>
      </c>
      <c r="G56" s="36">
        <f t="shared" ca="1" si="1"/>
        <v>43842</v>
      </c>
      <c r="H56" s="25">
        <f t="shared" ca="1" si="2"/>
        <v>6503028230015</v>
      </c>
      <c r="I56" s="31" t="s">
        <v>34</v>
      </c>
      <c r="J56" s="36">
        <f t="shared" ca="1" si="3"/>
        <v>44633</v>
      </c>
      <c r="K56" s="25">
        <f t="shared" ca="1" si="4"/>
        <v>4877141103902</v>
      </c>
      <c r="L56" s="31" t="s">
        <v>34</v>
      </c>
    </row>
    <row r="57" spans="1:12">
      <c r="A57">
        <v>54</v>
      </c>
      <c r="B57" t="str">
        <f ca="1"/>
        <v>Equinox Partners Real Property</v>
      </c>
      <c r="C57" t="s">
        <v>200</v>
      </c>
      <c r="D57" s="39" t="str">
        <f t="shared" ca="1" si="0"/>
        <v>I</v>
      </c>
      <c r="E57" t="s">
        <v>193</v>
      </c>
      <c r="F57" t="s">
        <v>197</v>
      </c>
      <c r="G57" s="36">
        <f t="shared" ca="1" si="1"/>
        <v>44094</v>
      </c>
      <c r="H57" s="25">
        <f t="shared" ca="1" si="2"/>
        <v>439724660249</v>
      </c>
      <c r="I57" s="31" t="s">
        <v>34</v>
      </c>
      <c r="J57" s="36">
        <f t="shared" ca="1" si="3"/>
        <v>44624</v>
      </c>
      <c r="K57" s="25">
        <f t="shared" ca="1" si="4"/>
        <v>6865236758271</v>
      </c>
      <c r="L57" s="31" t="s">
        <v>34</v>
      </c>
    </row>
    <row r="58" spans="1:12">
      <c r="A58">
        <v>55</v>
      </c>
      <c r="B58" t="str">
        <f ca="1"/>
        <v>Weathervane Group Realty</v>
      </c>
      <c r="C58" t="s">
        <v>201</v>
      </c>
      <c r="D58" s="39" t="str">
        <f t="shared" ca="1" si="0"/>
        <v>P</v>
      </c>
      <c r="E58" t="s">
        <v>196</v>
      </c>
      <c r="F58" t="s">
        <v>191</v>
      </c>
      <c r="G58" s="36">
        <f t="shared" ca="1" si="1"/>
        <v>43901</v>
      </c>
      <c r="H58" s="25">
        <f t="shared" ca="1" si="2"/>
        <v>503229481380</v>
      </c>
      <c r="I58" s="31" t="s">
        <v>34</v>
      </c>
      <c r="J58" s="36">
        <f t="shared" ca="1" si="3"/>
        <v>44707</v>
      </c>
      <c r="K58" s="25">
        <f t="shared" ca="1" si="4"/>
        <v>2324524927291</v>
      </c>
      <c r="L58" s="31" t="s">
        <v>34</v>
      </c>
    </row>
    <row r="59" spans="1:12">
      <c r="A59">
        <v>56</v>
      </c>
      <c r="B59" t="str">
        <f ca="1"/>
        <v>Platinum Property Advisors</v>
      </c>
      <c r="C59" t="s">
        <v>202</v>
      </c>
      <c r="D59" s="39" t="str">
        <f t="shared" ca="1" si="0"/>
        <v>O</v>
      </c>
      <c r="E59" t="s">
        <v>199</v>
      </c>
      <c r="F59" t="s">
        <v>194</v>
      </c>
      <c r="G59" s="36">
        <f t="shared" ca="1" si="1"/>
        <v>43994</v>
      </c>
      <c r="H59" s="25">
        <f t="shared" ca="1" si="2"/>
        <v>2348084108010</v>
      </c>
      <c r="I59" s="31" t="s">
        <v>34</v>
      </c>
      <c r="J59" s="36">
        <f t="shared" ca="1" si="3"/>
        <v>44605</v>
      </c>
      <c r="K59" s="25">
        <f t="shared" ca="1" si="4"/>
        <v>3681387044608</v>
      </c>
      <c r="L59" s="31" t="s">
        <v>34</v>
      </c>
    </row>
    <row r="60" spans="1:12">
      <c r="A60">
        <v>57</v>
      </c>
      <c r="B60" t="str">
        <f ca="1"/>
        <v>Driggs Realty</v>
      </c>
      <c r="C60" t="s">
        <v>189</v>
      </c>
      <c r="D60" s="39" t="str">
        <f t="shared" ca="1" si="0"/>
        <v>U</v>
      </c>
      <c r="E60" t="s">
        <v>190</v>
      </c>
      <c r="F60" t="s">
        <v>197</v>
      </c>
      <c r="G60" s="36">
        <f t="shared" ca="1" si="1"/>
        <v>43917</v>
      </c>
      <c r="H60" s="25">
        <f t="shared" ca="1" si="2"/>
        <v>1382347748928</v>
      </c>
      <c r="I60" s="31" t="s">
        <v>34</v>
      </c>
      <c r="J60" s="36">
        <f t="shared" ca="1" si="3"/>
        <v>44872</v>
      </c>
      <c r="K60" s="25">
        <f t="shared" ca="1" si="4"/>
        <v>3779566441833</v>
      </c>
      <c r="L60" s="31" t="s">
        <v>34</v>
      </c>
    </row>
    <row r="61" spans="1:12">
      <c r="A61">
        <v>58</v>
      </c>
      <c r="B61" t="str">
        <f ca="1"/>
        <v>Agile Real Estate Group</v>
      </c>
      <c r="C61" t="s">
        <v>192</v>
      </c>
      <c r="D61" s="39" t="str">
        <f t="shared" ca="1" si="0"/>
        <v>S</v>
      </c>
      <c r="E61" t="s">
        <v>193</v>
      </c>
      <c r="F61" t="s">
        <v>191</v>
      </c>
      <c r="G61" s="36">
        <f t="shared" ca="1" si="1"/>
        <v>43842</v>
      </c>
      <c r="H61" s="25">
        <f t="shared" ca="1" si="2"/>
        <v>5752070018085</v>
      </c>
      <c r="I61" s="31" t="s">
        <v>34</v>
      </c>
      <c r="J61" s="36">
        <f t="shared" ca="1" si="3"/>
        <v>44833</v>
      </c>
      <c r="K61" s="25">
        <f t="shared" ca="1" si="4"/>
        <v>3910269631782</v>
      </c>
      <c r="L61" s="31" t="s">
        <v>34</v>
      </c>
    </row>
    <row r="62" spans="1:12">
      <c r="A62">
        <v>59</v>
      </c>
      <c r="B62" t="str">
        <f ca="1"/>
        <v>Driggs Realty</v>
      </c>
      <c r="C62" t="s">
        <v>195</v>
      </c>
      <c r="D62" s="39" t="str">
        <f t="shared" ca="1" si="0"/>
        <v>J</v>
      </c>
      <c r="E62" t="s">
        <v>196</v>
      </c>
      <c r="F62" t="s">
        <v>194</v>
      </c>
      <c r="G62" s="36">
        <f t="shared" ca="1" si="1"/>
        <v>44168</v>
      </c>
      <c r="H62" s="25">
        <f t="shared" ca="1" si="2"/>
        <v>202676952143</v>
      </c>
      <c r="I62" s="31" t="s">
        <v>34</v>
      </c>
      <c r="J62" s="36">
        <f t="shared" ca="1" si="3"/>
        <v>44758</v>
      </c>
      <c r="K62" s="25">
        <f t="shared" ca="1" si="4"/>
        <v>6307204387838</v>
      </c>
      <c r="L62" s="31" t="s">
        <v>34</v>
      </c>
    </row>
    <row r="63" spans="1:12">
      <c r="A63">
        <v>60</v>
      </c>
      <c r="B63" t="str">
        <f ca="1"/>
        <v>Golden Meadows Property Group</v>
      </c>
      <c r="C63" t="s">
        <v>198</v>
      </c>
      <c r="D63" s="39" t="str">
        <f t="shared" ca="1" si="0"/>
        <v>Z</v>
      </c>
      <c r="E63" t="s">
        <v>199</v>
      </c>
      <c r="F63" t="s">
        <v>197</v>
      </c>
      <c r="G63" s="36">
        <f t="shared" ca="1" si="1"/>
        <v>44072</v>
      </c>
      <c r="H63" s="25">
        <f t="shared" ca="1" si="2"/>
        <v>5456925252932</v>
      </c>
      <c r="I63" s="31" t="s">
        <v>34</v>
      </c>
      <c r="J63" s="36">
        <f t="shared" ca="1" si="3"/>
        <v>44631</v>
      </c>
      <c r="K63" s="25">
        <f t="shared" ca="1" si="4"/>
        <v>7316435810749</v>
      </c>
      <c r="L63" s="31" t="s">
        <v>34</v>
      </c>
    </row>
    <row r="64" spans="1:12">
      <c r="A64">
        <v>61</v>
      </c>
      <c r="B64" t="str">
        <f ca="1"/>
        <v>Weathervane Group Realty</v>
      </c>
      <c r="C64" t="s">
        <v>200</v>
      </c>
      <c r="D64" s="39" t="str">
        <f t="shared" ca="1" si="0"/>
        <v>E</v>
      </c>
      <c r="E64" t="s">
        <v>190</v>
      </c>
      <c r="F64" t="s">
        <v>191</v>
      </c>
      <c r="G64" s="36">
        <f t="shared" ca="1" si="1"/>
        <v>43962</v>
      </c>
      <c r="H64" s="25">
        <f t="shared" ca="1" si="2"/>
        <v>6071905350370</v>
      </c>
      <c r="I64" s="31" t="s">
        <v>34</v>
      </c>
      <c r="J64" s="36">
        <f t="shared" ca="1" si="3"/>
        <v>44777</v>
      </c>
      <c r="K64" s="25">
        <f t="shared" ca="1" si="4"/>
        <v>4305338856266</v>
      </c>
      <c r="L64" s="31" t="s">
        <v>34</v>
      </c>
    </row>
    <row r="65" spans="1:12">
      <c r="A65">
        <v>62</v>
      </c>
      <c r="B65" t="str">
        <f ca="1"/>
        <v>Black Oak Realty</v>
      </c>
      <c r="C65" t="s">
        <v>201</v>
      </c>
      <c r="D65" s="39" t="str">
        <f t="shared" ca="1" si="0"/>
        <v>C</v>
      </c>
      <c r="E65" t="s">
        <v>193</v>
      </c>
      <c r="F65" t="s">
        <v>194</v>
      </c>
      <c r="G65" s="36">
        <f t="shared" ca="1" si="1"/>
        <v>43859</v>
      </c>
      <c r="H65" s="25">
        <f t="shared" ca="1" si="2"/>
        <v>5293493966778</v>
      </c>
      <c r="I65" s="31" t="s">
        <v>34</v>
      </c>
      <c r="J65" s="36">
        <f t="shared" ca="1" si="3"/>
        <v>44581</v>
      </c>
      <c r="K65" s="25">
        <f t="shared" ca="1" si="4"/>
        <v>3760683301887</v>
      </c>
      <c r="L65" s="31" t="s">
        <v>34</v>
      </c>
    </row>
    <row r="66" spans="1:12">
      <c r="A66">
        <v>63</v>
      </c>
      <c r="B66" t="str">
        <f ca="1"/>
        <v>Stellar Property Advisors</v>
      </c>
      <c r="C66" t="s">
        <v>202</v>
      </c>
      <c r="D66" s="39" t="str">
        <f t="shared" ca="1" si="0"/>
        <v>C</v>
      </c>
      <c r="E66" t="s">
        <v>196</v>
      </c>
      <c r="F66" t="s">
        <v>197</v>
      </c>
      <c r="G66" s="36">
        <f t="shared" ca="1" si="1"/>
        <v>43986</v>
      </c>
      <c r="H66" s="25">
        <f t="shared" ca="1" si="2"/>
        <v>5921716131775</v>
      </c>
      <c r="I66" s="31" t="s">
        <v>34</v>
      </c>
      <c r="J66" s="36">
        <f t="shared" ca="1" si="3"/>
        <v>44632</v>
      </c>
      <c r="K66" s="25">
        <f t="shared" ca="1" si="4"/>
        <v>8273278213595</v>
      </c>
      <c r="L66" s="31" t="s">
        <v>34</v>
      </c>
    </row>
    <row r="67" spans="1:12">
      <c r="A67">
        <v>64</v>
      </c>
      <c r="B67" t="str">
        <f ca="1"/>
        <v>Broadleaf Homes</v>
      </c>
      <c r="C67" t="s">
        <v>189</v>
      </c>
      <c r="D67" s="39" t="str">
        <f t="shared" ca="1" si="0"/>
        <v>V</v>
      </c>
      <c r="E67" t="s">
        <v>199</v>
      </c>
      <c r="F67" t="s">
        <v>191</v>
      </c>
      <c r="G67" s="36">
        <f t="shared" ca="1" si="1"/>
        <v>43933</v>
      </c>
      <c r="H67" s="25">
        <f t="shared" ca="1" si="2"/>
        <v>1515853443902</v>
      </c>
      <c r="I67" s="31" t="s">
        <v>34</v>
      </c>
      <c r="J67" s="36">
        <f t="shared" ca="1" si="3"/>
        <v>44614</v>
      </c>
      <c r="K67" s="25">
        <f t="shared" ca="1" si="4"/>
        <v>4458929017788</v>
      </c>
      <c r="L67" s="31" t="s">
        <v>34</v>
      </c>
    </row>
    <row r="68" spans="1:12">
      <c r="A68">
        <v>65</v>
      </c>
      <c r="B68" t="str">
        <f ca="1"/>
        <v>Found Property Group</v>
      </c>
      <c r="C68" t="s">
        <v>192</v>
      </c>
      <c r="D68" s="39" t="str">
        <f t="shared" ca="1" si="0"/>
        <v>Q</v>
      </c>
      <c r="E68" t="s">
        <v>190</v>
      </c>
      <c r="F68" t="s">
        <v>194</v>
      </c>
      <c r="G68" s="36">
        <f t="shared" ca="1" si="1"/>
        <v>43863</v>
      </c>
      <c r="H68" s="25">
        <f t="shared" ca="1" si="2"/>
        <v>425225872949</v>
      </c>
      <c r="I68" s="31" t="s">
        <v>34</v>
      </c>
      <c r="J68" s="36">
        <f t="shared" ca="1" si="3"/>
        <v>44653</v>
      </c>
      <c r="K68" s="25">
        <f t="shared" ca="1" si="4"/>
        <v>8946408069932</v>
      </c>
      <c r="L68" s="31" t="s">
        <v>34</v>
      </c>
    </row>
    <row r="69" spans="1:12">
      <c r="A69">
        <v>66</v>
      </c>
      <c r="B69" t="str">
        <f ca="1"/>
        <v>Citadel Partners Realty</v>
      </c>
      <c r="C69" t="s">
        <v>195</v>
      </c>
      <c r="D69" s="39" t="str">
        <f t="shared" ref="D69:D132" ca="1" si="5">CHAR(RANDBETWEEN(65,90))</f>
        <v>M</v>
      </c>
      <c r="E69" t="s">
        <v>193</v>
      </c>
      <c r="F69" t="s">
        <v>197</v>
      </c>
      <c r="G69" s="36">
        <f t="shared" ref="G69:G132" ca="1" si="6">RANDBETWEEN(DATE(2020,1,1),DATE(2020,12,31))</f>
        <v>44143</v>
      </c>
      <c r="H69" s="25">
        <f t="shared" ref="H69:H132" ca="1" si="7">RANDBETWEEN(100000000000,9000000000000)</f>
        <v>6517027019104</v>
      </c>
      <c r="I69" s="31" t="s">
        <v>34</v>
      </c>
      <c r="J69" s="36">
        <f t="shared" ref="J69:J132" ca="1" si="8">RANDBETWEEN(DATE(2022,1,1),DATE(2022,12,31))</f>
        <v>44779</v>
      </c>
      <c r="K69" s="25">
        <f t="shared" ref="K69:K132" ca="1" si="9">RANDBETWEEN(100000000000,9000000000000)</f>
        <v>8734267582567</v>
      </c>
      <c r="L69" s="31" t="s">
        <v>34</v>
      </c>
    </row>
    <row r="70" spans="1:12">
      <c r="A70">
        <v>67</v>
      </c>
      <c r="B70" t="str">
        <f ca="1"/>
        <v>Champion Real Estate Advisors</v>
      </c>
      <c r="C70" t="s">
        <v>198</v>
      </c>
      <c r="D70" s="39" t="str">
        <f t="shared" ca="1" si="5"/>
        <v>Z</v>
      </c>
      <c r="E70" t="s">
        <v>196</v>
      </c>
      <c r="F70" t="s">
        <v>191</v>
      </c>
      <c r="G70" s="36">
        <f t="shared" ca="1" si="6"/>
        <v>44188</v>
      </c>
      <c r="H70" s="25">
        <f t="shared" ca="1" si="7"/>
        <v>5005726655911</v>
      </c>
      <c r="I70" s="31" t="s">
        <v>34</v>
      </c>
      <c r="J70" s="36">
        <f t="shared" ca="1" si="8"/>
        <v>44925</v>
      </c>
      <c r="K70" s="25">
        <f t="shared" ca="1" si="9"/>
        <v>8086545569545</v>
      </c>
      <c r="L70" s="31" t="s">
        <v>34</v>
      </c>
    </row>
    <row r="71" spans="1:12">
      <c r="A71">
        <v>68</v>
      </c>
      <c r="B71" t="str">
        <f ca="1"/>
        <v>Broadleaf Homes</v>
      </c>
      <c r="C71" t="s">
        <v>200</v>
      </c>
      <c r="D71" s="39" t="str">
        <f t="shared" ca="1" si="5"/>
        <v>X</v>
      </c>
      <c r="E71" t="s">
        <v>199</v>
      </c>
      <c r="F71" t="s">
        <v>194</v>
      </c>
      <c r="G71" s="36">
        <f t="shared" ca="1" si="6"/>
        <v>43927</v>
      </c>
      <c r="H71" s="25">
        <f t="shared" ca="1" si="7"/>
        <v>918445859442</v>
      </c>
      <c r="I71" s="31" t="s">
        <v>34</v>
      </c>
      <c r="J71" s="36">
        <f t="shared" ca="1" si="8"/>
        <v>44756</v>
      </c>
      <c r="K71" s="25">
        <f t="shared" ca="1" si="9"/>
        <v>2512540856572</v>
      </c>
      <c r="L71" s="31" t="s">
        <v>34</v>
      </c>
    </row>
    <row r="72" spans="1:12">
      <c r="A72">
        <v>69</v>
      </c>
      <c r="B72" t="str">
        <f ca="1"/>
        <v>Landmark Realty Group</v>
      </c>
      <c r="C72" t="s">
        <v>201</v>
      </c>
      <c r="D72" s="39" t="str">
        <f t="shared" ca="1" si="5"/>
        <v>J</v>
      </c>
      <c r="E72" t="s">
        <v>190</v>
      </c>
      <c r="F72" t="s">
        <v>197</v>
      </c>
      <c r="G72" s="36">
        <f t="shared" ca="1" si="6"/>
        <v>44156</v>
      </c>
      <c r="H72" s="25">
        <f t="shared" ca="1" si="7"/>
        <v>1308155331570</v>
      </c>
      <c r="I72" s="31" t="s">
        <v>34</v>
      </c>
      <c r="J72" s="36">
        <f t="shared" ca="1" si="8"/>
        <v>44805</v>
      </c>
      <c r="K72" s="25">
        <f t="shared" ca="1" si="9"/>
        <v>2591196746349</v>
      </c>
      <c r="L72" s="31" t="s">
        <v>34</v>
      </c>
    </row>
    <row r="73" spans="1:12">
      <c r="A73">
        <v>70</v>
      </c>
      <c r="B73" t="str">
        <f ca="1"/>
        <v>Axis Group Real Estate</v>
      </c>
      <c r="C73" t="s">
        <v>202</v>
      </c>
      <c r="D73" s="39" t="str">
        <f t="shared" ca="1" si="5"/>
        <v>T</v>
      </c>
      <c r="E73" t="s">
        <v>193</v>
      </c>
      <c r="F73" t="s">
        <v>191</v>
      </c>
      <c r="G73" s="36">
        <f t="shared" ca="1" si="6"/>
        <v>43938</v>
      </c>
      <c r="H73" s="25">
        <f t="shared" ca="1" si="7"/>
        <v>3775146140084</v>
      </c>
      <c r="I73" s="31" t="s">
        <v>34</v>
      </c>
      <c r="J73" s="36">
        <f t="shared" ca="1" si="8"/>
        <v>44860</v>
      </c>
      <c r="K73" s="25">
        <f t="shared" ca="1" si="9"/>
        <v>2970826613670</v>
      </c>
      <c r="L73" s="31" t="s">
        <v>34</v>
      </c>
    </row>
    <row r="74" spans="1:12">
      <c r="A74">
        <v>71</v>
      </c>
      <c r="B74" t="str">
        <f ca="1"/>
        <v>Stellar Property Advisors</v>
      </c>
      <c r="C74" t="s">
        <v>189</v>
      </c>
      <c r="D74" s="39" t="str">
        <f t="shared" ca="1" si="5"/>
        <v>Y</v>
      </c>
      <c r="E74" t="s">
        <v>196</v>
      </c>
      <c r="F74" t="s">
        <v>194</v>
      </c>
      <c r="G74" s="36">
        <f t="shared" ca="1" si="6"/>
        <v>43999</v>
      </c>
      <c r="H74" s="25">
        <f t="shared" ca="1" si="7"/>
        <v>4669275110064</v>
      </c>
      <c r="I74" s="31" t="s">
        <v>34</v>
      </c>
      <c r="J74" s="36">
        <f t="shared" ca="1" si="8"/>
        <v>44903</v>
      </c>
      <c r="K74" s="25">
        <f t="shared" ca="1" si="9"/>
        <v>6269980585110</v>
      </c>
      <c r="L74" s="31" t="s">
        <v>34</v>
      </c>
    </row>
    <row r="75" spans="1:12">
      <c r="A75">
        <v>72</v>
      </c>
      <c r="B75" t="str">
        <f ca="1"/>
        <v>Red Coral Realty</v>
      </c>
      <c r="C75" t="s">
        <v>192</v>
      </c>
      <c r="D75" s="39" t="str">
        <f t="shared" ca="1" si="5"/>
        <v>T</v>
      </c>
      <c r="E75" t="s">
        <v>199</v>
      </c>
      <c r="F75" t="s">
        <v>197</v>
      </c>
      <c r="G75" s="36">
        <f t="shared" ca="1" si="6"/>
        <v>44086</v>
      </c>
      <c r="H75" s="25">
        <f t="shared" ca="1" si="7"/>
        <v>6455431359234</v>
      </c>
      <c r="I75" s="31" t="s">
        <v>34</v>
      </c>
      <c r="J75" s="36">
        <f t="shared" ca="1" si="8"/>
        <v>44663</v>
      </c>
      <c r="K75" s="25">
        <f t="shared" ca="1" si="9"/>
        <v>2720310765655</v>
      </c>
      <c r="L75" s="31" t="s">
        <v>34</v>
      </c>
    </row>
    <row r="76" spans="1:12">
      <c r="A76">
        <v>73</v>
      </c>
      <c r="B76" t="str">
        <f ca="1"/>
        <v>Magnolia Group Real Estate</v>
      </c>
      <c r="C76" t="s">
        <v>195</v>
      </c>
      <c r="D76" s="39" t="str">
        <f t="shared" ca="1" si="5"/>
        <v>O</v>
      </c>
      <c r="E76" t="s">
        <v>190</v>
      </c>
      <c r="F76" t="s">
        <v>191</v>
      </c>
      <c r="G76" s="36">
        <f t="shared" ca="1" si="6"/>
        <v>44060</v>
      </c>
      <c r="H76" s="25">
        <f t="shared" ca="1" si="7"/>
        <v>2970801859994</v>
      </c>
      <c r="I76" s="31" t="s">
        <v>34</v>
      </c>
      <c r="J76" s="36">
        <f t="shared" ca="1" si="8"/>
        <v>44794</v>
      </c>
      <c r="K76" s="25">
        <f t="shared" ca="1" si="9"/>
        <v>2005235969575</v>
      </c>
      <c r="L76" s="31" t="s">
        <v>34</v>
      </c>
    </row>
    <row r="77" spans="1:12">
      <c r="A77">
        <v>74</v>
      </c>
      <c r="B77" t="str">
        <f ca="1"/>
        <v>Brick Lane Realty</v>
      </c>
      <c r="C77" t="s">
        <v>198</v>
      </c>
      <c r="D77" s="39" t="str">
        <f t="shared" ca="1" si="5"/>
        <v>F</v>
      </c>
      <c r="E77" t="s">
        <v>193</v>
      </c>
      <c r="F77" t="s">
        <v>194</v>
      </c>
      <c r="G77" s="36">
        <f t="shared" ca="1" si="6"/>
        <v>43932</v>
      </c>
      <c r="H77" s="25">
        <f t="shared" ca="1" si="7"/>
        <v>608025597869</v>
      </c>
      <c r="I77" s="31" t="s">
        <v>34</v>
      </c>
      <c r="J77" s="36">
        <f t="shared" ca="1" si="8"/>
        <v>44810</v>
      </c>
      <c r="K77" s="25">
        <f t="shared" ca="1" si="9"/>
        <v>3970746202177</v>
      </c>
      <c r="L77" s="31" t="s">
        <v>34</v>
      </c>
    </row>
    <row r="78" spans="1:12">
      <c r="A78">
        <v>75</v>
      </c>
      <c r="B78" t="str">
        <f ca="1"/>
        <v>Jasper Realty</v>
      </c>
      <c r="C78" t="s">
        <v>200</v>
      </c>
      <c r="D78" s="39" t="str">
        <f t="shared" ca="1" si="5"/>
        <v>G</v>
      </c>
      <c r="E78" t="s">
        <v>196</v>
      </c>
      <c r="F78" t="s">
        <v>197</v>
      </c>
      <c r="G78" s="36">
        <f t="shared" ca="1" si="6"/>
        <v>44129</v>
      </c>
      <c r="H78" s="25">
        <f t="shared" ca="1" si="7"/>
        <v>5241339833520</v>
      </c>
      <c r="I78" s="31" t="s">
        <v>34</v>
      </c>
      <c r="J78" s="36">
        <f t="shared" ca="1" si="8"/>
        <v>44904</v>
      </c>
      <c r="K78" s="25">
        <f t="shared" ca="1" si="9"/>
        <v>5709346543149</v>
      </c>
      <c r="L78" s="31" t="s">
        <v>34</v>
      </c>
    </row>
    <row r="79" spans="1:12">
      <c r="A79">
        <v>76</v>
      </c>
      <c r="B79" t="str">
        <f ca="1"/>
        <v>Sterling Property Advisors</v>
      </c>
      <c r="C79" t="s">
        <v>201</v>
      </c>
      <c r="D79" s="39" t="str">
        <f t="shared" ca="1" si="5"/>
        <v>Z</v>
      </c>
      <c r="E79" t="s">
        <v>199</v>
      </c>
      <c r="F79" t="s">
        <v>191</v>
      </c>
      <c r="G79" s="36">
        <f t="shared" ca="1" si="6"/>
        <v>44046</v>
      </c>
      <c r="H79" s="25">
        <f t="shared" ca="1" si="7"/>
        <v>5399723120304</v>
      </c>
      <c r="I79" s="31" t="s">
        <v>34</v>
      </c>
      <c r="J79" s="36">
        <f t="shared" ca="1" si="8"/>
        <v>44669</v>
      </c>
      <c r="K79" s="25">
        <f t="shared" ca="1" si="9"/>
        <v>919512737786</v>
      </c>
      <c r="L79" s="31" t="s">
        <v>34</v>
      </c>
    </row>
    <row r="80" spans="1:12">
      <c r="A80">
        <v>77</v>
      </c>
      <c r="B80" t="str">
        <f ca="1"/>
        <v>Apogee Property Advisors</v>
      </c>
      <c r="C80" t="s">
        <v>202</v>
      </c>
      <c r="D80" s="39" t="str">
        <f t="shared" ca="1" si="5"/>
        <v>S</v>
      </c>
      <c r="E80" t="s">
        <v>190</v>
      </c>
      <c r="F80" t="s">
        <v>194</v>
      </c>
      <c r="G80" s="36">
        <f t="shared" ca="1" si="6"/>
        <v>43865</v>
      </c>
      <c r="H80" s="25">
        <f t="shared" ca="1" si="7"/>
        <v>4758924680724</v>
      </c>
      <c r="I80" s="31" t="s">
        <v>34</v>
      </c>
      <c r="J80" s="36">
        <f t="shared" ca="1" si="8"/>
        <v>44844</v>
      </c>
      <c r="K80" s="25">
        <f t="shared" ca="1" si="9"/>
        <v>4493842121393</v>
      </c>
      <c r="L80" s="31" t="s">
        <v>34</v>
      </c>
    </row>
    <row r="81" spans="1:12">
      <c r="A81">
        <v>78</v>
      </c>
      <c r="B81" t="str">
        <f ca="1"/>
        <v>Picket Fence Realty</v>
      </c>
      <c r="C81" t="s">
        <v>189</v>
      </c>
      <c r="D81" s="39" t="str">
        <f t="shared" ca="1" si="5"/>
        <v>H</v>
      </c>
      <c r="E81" t="s">
        <v>193</v>
      </c>
      <c r="F81" t="s">
        <v>197</v>
      </c>
      <c r="G81" s="36">
        <f t="shared" ca="1" si="6"/>
        <v>44008</v>
      </c>
      <c r="H81" s="25">
        <f t="shared" ca="1" si="7"/>
        <v>8093267880182</v>
      </c>
      <c r="I81" s="31" t="s">
        <v>34</v>
      </c>
      <c r="J81" s="36">
        <f t="shared" ca="1" si="8"/>
        <v>44754</v>
      </c>
      <c r="K81" s="25">
        <f t="shared" ca="1" si="9"/>
        <v>6349053071384</v>
      </c>
      <c r="L81" s="31" t="s">
        <v>34</v>
      </c>
    </row>
    <row r="82" spans="1:12">
      <c r="A82">
        <v>79</v>
      </c>
      <c r="B82" t="str">
        <f ca="1"/>
        <v>Pagoda Partners Realty</v>
      </c>
      <c r="C82" t="s">
        <v>192</v>
      </c>
      <c r="D82" s="39" t="str">
        <f t="shared" ca="1" si="5"/>
        <v>B</v>
      </c>
      <c r="E82" t="s">
        <v>196</v>
      </c>
      <c r="F82" t="s">
        <v>191</v>
      </c>
      <c r="G82" s="36">
        <f t="shared" ca="1" si="6"/>
        <v>43950</v>
      </c>
      <c r="H82" s="25">
        <f t="shared" ca="1" si="7"/>
        <v>4970342957479</v>
      </c>
      <c r="I82" s="31" t="s">
        <v>34</v>
      </c>
      <c r="J82" s="36">
        <f t="shared" ca="1" si="8"/>
        <v>44607</v>
      </c>
      <c r="K82" s="25">
        <f t="shared" ca="1" si="9"/>
        <v>1200675031004</v>
      </c>
      <c r="L82" s="31" t="s">
        <v>34</v>
      </c>
    </row>
    <row r="83" spans="1:12">
      <c r="A83">
        <v>80</v>
      </c>
      <c r="B83" t="str">
        <f ca="1"/>
        <v>Corsair Real Estate</v>
      </c>
      <c r="C83" t="s">
        <v>195</v>
      </c>
      <c r="D83" s="39" t="str">
        <f t="shared" ca="1" si="5"/>
        <v>H</v>
      </c>
      <c r="E83" t="s">
        <v>199</v>
      </c>
      <c r="F83" t="s">
        <v>194</v>
      </c>
      <c r="G83" s="36">
        <f t="shared" ca="1" si="6"/>
        <v>44132</v>
      </c>
      <c r="H83" s="25">
        <f t="shared" ca="1" si="7"/>
        <v>7306324160538</v>
      </c>
      <c r="I83" s="31" t="s">
        <v>34</v>
      </c>
      <c r="J83" s="36">
        <f t="shared" ca="1" si="8"/>
        <v>44818</v>
      </c>
      <c r="K83" s="25">
        <f t="shared" ca="1" si="9"/>
        <v>2988013478071</v>
      </c>
      <c r="L83" s="31" t="s">
        <v>34</v>
      </c>
    </row>
    <row r="84" spans="1:12">
      <c r="A84">
        <v>81</v>
      </c>
      <c r="B84" t="str">
        <f ca="1"/>
        <v>Apogee Property Advisors</v>
      </c>
      <c r="C84" t="s">
        <v>198</v>
      </c>
      <c r="D84" s="39" t="str">
        <f t="shared" ca="1" si="5"/>
        <v>P</v>
      </c>
      <c r="E84" t="s">
        <v>190</v>
      </c>
      <c r="F84" t="s">
        <v>197</v>
      </c>
      <c r="G84" s="36">
        <f t="shared" ca="1" si="6"/>
        <v>44071</v>
      </c>
      <c r="H84" s="25">
        <f t="shared" ca="1" si="7"/>
        <v>6491719705717</v>
      </c>
      <c r="I84" s="31" t="s">
        <v>34</v>
      </c>
      <c r="J84" s="36">
        <f t="shared" ca="1" si="8"/>
        <v>44699</v>
      </c>
      <c r="K84" s="25">
        <f t="shared" ca="1" si="9"/>
        <v>1073836435358</v>
      </c>
      <c r="L84" s="31" t="s">
        <v>34</v>
      </c>
    </row>
    <row r="85" spans="1:12">
      <c r="A85">
        <v>82</v>
      </c>
      <c r="B85" t="str">
        <f ca="1"/>
        <v>Lamplighters Realty</v>
      </c>
      <c r="C85" t="s">
        <v>200</v>
      </c>
      <c r="D85" s="39" t="str">
        <f t="shared" ca="1" si="5"/>
        <v>E</v>
      </c>
      <c r="E85" t="s">
        <v>193</v>
      </c>
      <c r="F85" t="s">
        <v>191</v>
      </c>
      <c r="G85" s="36">
        <f t="shared" ca="1" si="6"/>
        <v>43885</v>
      </c>
      <c r="H85" s="25">
        <f t="shared" ca="1" si="7"/>
        <v>851529195954</v>
      </c>
      <c r="I85" s="31" t="s">
        <v>34</v>
      </c>
      <c r="J85" s="36">
        <f t="shared" ca="1" si="8"/>
        <v>44624</v>
      </c>
      <c r="K85" s="25">
        <f t="shared" ca="1" si="9"/>
        <v>8167355461720</v>
      </c>
      <c r="L85" s="31" t="s">
        <v>34</v>
      </c>
    </row>
    <row r="86" spans="1:12">
      <c r="A86">
        <v>83</v>
      </c>
      <c r="B86" t="str">
        <f ca="1"/>
        <v>Platinum Property Advisors</v>
      </c>
      <c r="C86" t="s">
        <v>201</v>
      </c>
      <c r="D86" s="39" t="str">
        <f t="shared" ca="1" si="5"/>
        <v>B</v>
      </c>
      <c r="E86" t="s">
        <v>196</v>
      </c>
      <c r="F86" t="s">
        <v>194</v>
      </c>
      <c r="G86" s="36">
        <f t="shared" ca="1" si="6"/>
        <v>44158</v>
      </c>
      <c r="H86" s="25">
        <f t="shared" ca="1" si="7"/>
        <v>2660900338154</v>
      </c>
      <c r="I86" s="31" t="s">
        <v>34</v>
      </c>
      <c r="J86" s="36">
        <f t="shared" ca="1" si="8"/>
        <v>44611</v>
      </c>
      <c r="K86" s="25">
        <f t="shared" ca="1" si="9"/>
        <v>2496554638383</v>
      </c>
      <c r="L86" s="31" t="s">
        <v>34</v>
      </c>
    </row>
    <row r="87" spans="1:12">
      <c r="A87">
        <v>84</v>
      </c>
      <c r="B87" t="str">
        <f ca="1"/>
        <v>Stellar Property Advisors</v>
      </c>
      <c r="C87" t="s">
        <v>202</v>
      </c>
      <c r="D87" s="39" t="str">
        <f t="shared" ca="1" si="5"/>
        <v>A</v>
      </c>
      <c r="E87" t="s">
        <v>199</v>
      </c>
      <c r="F87" t="s">
        <v>197</v>
      </c>
      <c r="G87" s="36">
        <f t="shared" ca="1" si="6"/>
        <v>44119</v>
      </c>
      <c r="H87" s="25">
        <f t="shared" ca="1" si="7"/>
        <v>6208311122404</v>
      </c>
      <c r="I87" s="31" t="s">
        <v>34</v>
      </c>
      <c r="J87" s="36">
        <f t="shared" ca="1" si="8"/>
        <v>44694</v>
      </c>
      <c r="K87" s="25">
        <f t="shared" ca="1" si="9"/>
        <v>3954110340560</v>
      </c>
      <c r="L87" s="31" t="s">
        <v>34</v>
      </c>
    </row>
    <row r="88" spans="1:12">
      <c r="A88">
        <v>85</v>
      </c>
      <c r="B88" t="str">
        <f ca="1"/>
        <v>Herringbone Realty</v>
      </c>
      <c r="C88" t="s">
        <v>189</v>
      </c>
      <c r="D88" s="39" t="str">
        <f t="shared" ca="1" si="5"/>
        <v>T</v>
      </c>
      <c r="E88" t="s">
        <v>190</v>
      </c>
      <c r="F88" t="s">
        <v>191</v>
      </c>
      <c r="G88" s="36">
        <f t="shared" ca="1" si="6"/>
        <v>44068</v>
      </c>
      <c r="H88" s="25">
        <f t="shared" ca="1" si="7"/>
        <v>1439988271902</v>
      </c>
      <c r="I88" s="31" t="s">
        <v>34</v>
      </c>
      <c r="J88" s="36">
        <f t="shared" ca="1" si="8"/>
        <v>44833</v>
      </c>
      <c r="K88" s="25">
        <f t="shared" ca="1" si="9"/>
        <v>8650068822078</v>
      </c>
      <c r="L88" s="31" t="s">
        <v>34</v>
      </c>
    </row>
    <row r="89" spans="1:12">
      <c r="A89">
        <v>86</v>
      </c>
      <c r="B89" t="str">
        <f ca="1"/>
        <v>Larkspur Partners Realty</v>
      </c>
      <c r="C89" t="s">
        <v>192</v>
      </c>
      <c r="D89" s="39" t="str">
        <f t="shared" ca="1" si="5"/>
        <v>B</v>
      </c>
      <c r="E89" t="s">
        <v>193</v>
      </c>
      <c r="F89" t="s">
        <v>194</v>
      </c>
      <c r="G89" s="36">
        <f t="shared" ca="1" si="6"/>
        <v>43930</v>
      </c>
      <c r="H89" s="25">
        <f t="shared" ca="1" si="7"/>
        <v>6120366588321</v>
      </c>
      <c r="I89" s="31" t="s">
        <v>34</v>
      </c>
      <c r="J89" s="36">
        <f t="shared" ca="1" si="8"/>
        <v>44677</v>
      </c>
      <c r="K89" s="25">
        <f t="shared" ca="1" si="9"/>
        <v>6299334275486</v>
      </c>
      <c r="L89" s="31" t="s">
        <v>34</v>
      </c>
    </row>
    <row r="90" spans="1:12">
      <c r="A90">
        <v>87</v>
      </c>
      <c r="B90" t="str">
        <f ca="1"/>
        <v>Excelsior Real Estate</v>
      </c>
      <c r="C90" t="s">
        <v>195</v>
      </c>
      <c r="D90" s="39" t="str">
        <f t="shared" ca="1" si="5"/>
        <v>I</v>
      </c>
      <c r="E90" t="s">
        <v>196</v>
      </c>
      <c r="F90" t="s">
        <v>197</v>
      </c>
      <c r="G90" s="36">
        <f t="shared" ca="1" si="6"/>
        <v>43964</v>
      </c>
      <c r="H90" s="25">
        <f t="shared" ca="1" si="7"/>
        <v>3935093203520</v>
      </c>
      <c r="I90" s="31" t="s">
        <v>34</v>
      </c>
      <c r="J90" s="36">
        <f t="shared" ca="1" si="8"/>
        <v>44813</v>
      </c>
      <c r="K90" s="25">
        <f t="shared" ca="1" si="9"/>
        <v>8264309737101</v>
      </c>
      <c r="L90" s="31" t="s">
        <v>34</v>
      </c>
    </row>
    <row r="91" spans="1:12">
      <c r="A91">
        <v>88</v>
      </c>
      <c r="B91" t="str">
        <f ca="1"/>
        <v>Barrow Street Realty</v>
      </c>
      <c r="C91" t="s">
        <v>198</v>
      </c>
      <c r="D91" s="39" t="str">
        <f t="shared" ca="1" si="5"/>
        <v>L</v>
      </c>
      <c r="E91" t="s">
        <v>199</v>
      </c>
      <c r="F91" t="s">
        <v>191</v>
      </c>
      <c r="G91" s="36">
        <f t="shared" ca="1" si="6"/>
        <v>43893</v>
      </c>
      <c r="H91" s="25">
        <f t="shared" ca="1" si="7"/>
        <v>7681392945892</v>
      </c>
      <c r="I91" s="31" t="s">
        <v>34</v>
      </c>
      <c r="J91" s="36">
        <f t="shared" ca="1" si="8"/>
        <v>44636</v>
      </c>
      <c r="K91" s="25">
        <f t="shared" ca="1" si="9"/>
        <v>6195548683031</v>
      </c>
      <c r="L91" s="31" t="s">
        <v>34</v>
      </c>
    </row>
    <row r="92" spans="1:12">
      <c r="A92">
        <v>89</v>
      </c>
      <c r="B92" t="str">
        <f ca="1"/>
        <v>Apogee Property Advisors</v>
      </c>
      <c r="C92" t="s">
        <v>200</v>
      </c>
      <c r="D92" s="39" t="str">
        <f t="shared" ca="1" si="5"/>
        <v>L</v>
      </c>
      <c r="E92" t="s">
        <v>190</v>
      </c>
      <c r="F92" t="s">
        <v>194</v>
      </c>
      <c r="G92" s="36">
        <f t="shared" ca="1" si="6"/>
        <v>44182</v>
      </c>
      <c r="H92" s="25">
        <f t="shared" ca="1" si="7"/>
        <v>401378439948</v>
      </c>
      <c r="I92" s="31" t="s">
        <v>34</v>
      </c>
      <c r="J92" s="36">
        <f t="shared" ca="1" si="8"/>
        <v>44715</v>
      </c>
      <c r="K92" s="25">
        <f t="shared" ca="1" si="9"/>
        <v>6518469623451</v>
      </c>
      <c r="L92" s="31" t="s">
        <v>34</v>
      </c>
    </row>
    <row r="93" spans="1:12">
      <c r="A93">
        <v>90</v>
      </c>
      <c r="B93" t="str">
        <f ca="1"/>
        <v>Acuta Real Estate</v>
      </c>
      <c r="C93" t="s">
        <v>201</v>
      </c>
      <c r="D93" s="39" t="str">
        <f t="shared" ca="1" si="5"/>
        <v>K</v>
      </c>
      <c r="E93" t="s">
        <v>193</v>
      </c>
      <c r="F93" t="s">
        <v>197</v>
      </c>
      <c r="G93" s="36">
        <f t="shared" ca="1" si="6"/>
        <v>44163</v>
      </c>
      <c r="H93" s="25">
        <f t="shared" ca="1" si="7"/>
        <v>3179291428873</v>
      </c>
      <c r="I93" s="31" t="s">
        <v>34</v>
      </c>
      <c r="J93" s="36">
        <f t="shared" ca="1" si="8"/>
        <v>44696</v>
      </c>
      <c r="K93" s="25">
        <f t="shared" ca="1" si="9"/>
        <v>8760185678912</v>
      </c>
      <c r="L93" s="31" t="s">
        <v>34</v>
      </c>
    </row>
    <row r="94" spans="1:12">
      <c r="A94">
        <v>91</v>
      </c>
      <c r="B94" t="str">
        <f ca="1"/>
        <v>Sterling Property Advisors</v>
      </c>
      <c r="C94" t="s">
        <v>202</v>
      </c>
      <c r="D94" s="39" t="str">
        <f t="shared" ca="1" si="5"/>
        <v>D</v>
      </c>
      <c r="E94" t="s">
        <v>196</v>
      </c>
      <c r="F94" t="s">
        <v>191</v>
      </c>
      <c r="G94" s="36">
        <f t="shared" ca="1" si="6"/>
        <v>43977</v>
      </c>
      <c r="H94" s="25">
        <f t="shared" ca="1" si="7"/>
        <v>579102315288</v>
      </c>
      <c r="I94" s="31" t="s">
        <v>34</v>
      </c>
      <c r="J94" s="36">
        <f t="shared" ca="1" si="8"/>
        <v>44819</v>
      </c>
      <c r="K94" s="25">
        <f t="shared" ca="1" si="9"/>
        <v>5525848674984</v>
      </c>
      <c r="L94" s="31" t="s">
        <v>34</v>
      </c>
    </row>
    <row r="95" spans="1:12">
      <c r="A95">
        <v>92</v>
      </c>
      <c r="B95" t="str">
        <f ca="1"/>
        <v>Keystone Group Real Estate</v>
      </c>
      <c r="C95" t="s">
        <v>189</v>
      </c>
      <c r="D95" s="39" t="str">
        <f t="shared" ca="1" si="5"/>
        <v>Y</v>
      </c>
      <c r="E95" t="s">
        <v>199</v>
      </c>
      <c r="F95" t="s">
        <v>194</v>
      </c>
      <c r="G95" s="36">
        <f t="shared" ca="1" si="6"/>
        <v>43956</v>
      </c>
      <c r="H95" s="25">
        <f t="shared" ca="1" si="7"/>
        <v>8148689180996</v>
      </c>
      <c r="I95" s="31" t="s">
        <v>34</v>
      </c>
      <c r="J95" s="36">
        <f t="shared" ca="1" si="8"/>
        <v>44925</v>
      </c>
      <c r="K95" s="25">
        <f t="shared" ca="1" si="9"/>
        <v>2002086937266</v>
      </c>
      <c r="L95" s="31" t="s">
        <v>34</v>
      </c>
    </row>
    <row r="96" spans="1:12">
      <c r="A96">
        <v>93</v>
      </c>
      <c r="B96" t="str">
        <f ca="1"/>
        <v>Golden Meadows Property Group</v>
      </c>
      <c r="C96" t="s">
        <v>192</v>
      </c>
      <c r="D96" s="39" t="str">
        <f t="shared" ca="1" si="5"/>
        <v>A</v>
      </c>
      <c r="E96" t="s">
        <v>190</v>
      </c>
      <c r="F96" t="s">
        <v>197</v>
      </c>
      <c r="G96" s="36">
        <f t="shared" ca="1" si="6"/>
        <v>43985</v>
      </c>
      <c r="H96" s="25">
        <f t="shared" ca="1" si="7"/>
        <v>6984516597203</v>
      </c>
      <c r="I96" s="31" t="s">
        <v>34</v>
      </c>
      <c r="J96" s="36">
        <f t="shared" ca="1" si="8"/>
        <v>44683</v>
      </c>
      <c r="K96" s="25">
        <f t="shared" ca="1" si="9"/>
        <v>6995064371377</v>
      </c>
      <c r="L96" s="31" t="s">
        <v>34</v>
      </c>
    </row>
    <row r="97" spans="1:12">
      <c r="A97">
        <v>94</v>
      </c>
      <c r="B97" t="str">
        <f ca="1"/>
        <v>Brick Lane Realty</v>
      </c>
      <c r="C97" t="s">
        <v>195</v>
      </c>
      <c r="D97" s="39" t="str">
        <f t="shared" ca="1" si="5"/>
        <v>F</v>
      </c>
      <c r="E97" t="s">
        <v>193</v>
      </c>
      <c r="F97" t="s">
        <v>191</v>
      </c>
      <c r="G97" s="36">
        <f t="shared" ca="1" si="6"/>
        <v>43943</v>
      </c>
      <c r="H97" s="25">
        <f t="shared" ca="1" si="7"/>
        <v>3685509863550</v>
      </c>
      <c r="I97" s="31" t="s">
        <v>34</v>
      </c>
      <c r="J97" s="36">
        <f t="shared" ca="1" si="8"/>
        <v>44741</v>
      </c>
      <c r="K97" s="25">
        <f t="shared" ca="1" si="9"/>
        <v>1046113676556</v>
      </c>
      <c r="L97" s="31" t="s">
        <v>34</v>
      </c>
    </row>
    <row r="98" spans="1:12">
      <c r="A98">
        <v>95</v>
      </c>
      <c r="B98" t="str">
        <f ca="1"/>
        <v>Herringbone Realty</v>
      </c>
      <c r="C98" t="s">
        <v>198</v>
      </c>
      <c r="D98" s="39" t="str">
        <f t="shared" ca="1" si="5"/>
        <v>A</v>
      </c>
      <c r="E98" t="s">
        <v>196</v>
      </c>
      <c r="F98" t="s">
        <v>194</v>
      </c>
      <c r="G98" s="36">
        <f t="shared" ca="1" si="6"/>
        <v>44166</v>
      </c>
      <c r="H98" s="25">
        <f t="shared" ca="1" si="7"/>
        <v>2407350180806</v>
      </c>
      <c r="I98" s="31" t="s">
        <v>34</v>
      </c>
      <c r="J98" s="36">
        <f t="shared" ca="1" si="8"/>
        <v>44694</v>
      </c>
      <c r="K98" s="25">
        <f t="shared" ca="1" si="9"/>
        <v>875145233823</v>
      </c>
      <c r="L98" s="31" t="s">
        <v>34</v>
      </c>
    </row>
    <row r="99" spans="1:12">
      <c r="A99">
        <v>96</v>
      </c>
      <c r="B99" t="str">
        <f ca="1"/>
        <v>Lamplighters Realty</v>
      </c>
      <c r="C99" t="s">
        <v>200</v>
      </c>
      <c r="D99" s="39" t="str">
        <f t="shared" ca="1" si="5"/>
        <v>W</v>
      </c>
      <c r="E99" t="s">
        <v>199</v>
      </c>
      <c r="F99" t="s">
        <v>197</v>
      </c>
      <c r="G99" s="36">
        <f t="shared" ca="1" si="6"/>
        <v>43993</v>
      </c>
      <c r="H99" s="25">
        <f t="shared" ca="1" si="7"/>
        <v>3995470618789</v>
      </c>
      <c r="I99" s="31" t="s">
        <v>34</v>
      </c>
      <c r="J99" s="36">
        <f t="shared" ca="1" si="8"/>
        <v>44876</v>
      </c>
      <c r="K99" s="25">
        <f t="shared" ca="1" si="9"/>
        <v>5762069726687</v>
      </c>
      <c r="L99" s="31" t="s">
        <v>34</v>
      </c>
    </row>
    <row r="100" spans="1:12">
      <c r="A100">
        <v>97</v>
      </c>
      <c r="B100" t="str">
        <f ca="1"/>
        <v>Olive Tree Realty</v>
      </c>
      <c r="C100" t="s">
        <v>201</v>
      </c>
      <c r="D100" s="39" t="str">
        <f t="shared" ca="1" si="5"/>
        <v>C</v>
      </c>
      <c r="E100" t="s">
        <v>190</v>
      </c>
      <c r="F100" t="s">
        <v>191</v>
      </c>
      <c r="G100" s="36">
        <f t="shared" ca="1" si="6"/>
        <v>44070</v>
      </c>
      <c r="H100" s="25">
        <f t="shared" ca="1" si="7"/>
        <v>396700275279</v>
      </c>
      <c r="I100" s="31" t="s">
        <v>34</v>
      </c>
      <c r="J100" s="36">
        <f t="shared" ca="1" si="8"/>
        <v>44665</v>
      </c>
      <c r="K100" s="25">
        <f t="shared" ca="1" si="9"/>
        <v>3317499687365</v>
      </c>
      <c r="L100" s="31" t="s">
        <v>34</v>
      </c>
    </row>
    <row r="101" spans="1:12">
      <c r="A101">
        <v>98</v>
      </c>
      <c r="B101" t="str">
        <f ca="1"/>
        <v>Rise Real Estate</v>
      </c>
      <c r="C101" t="s">
        <v>202</v>
      </c>
      <c r="D101" s="39" t="str">
        <f t="shared" ca="1" si="5"/>
        <v>P</v>
      </c>
      <c r="E101" t="s">
        <v>193</v>
      </c>
      <c r="F101" t="s">
        <v>194</v>
      </c>
      <c r="G101" s="36">
        <f t="shared" ca="1" si="6"/>
        <v>44158</v>
      </c>
      <c r="H101" s="25">
        <f t="shared" ca="1" si="7"/>
        <v>2713642253858</v>
      </c>
      <c r="I101" s="31" t="s">
        <v>34</v>
      </c>
      <c r="J101" s="36">
        <f t="shared" ca="1" si="8"/>
        <v>44586</v>
      </c>
      <c r="K101" s="25">
        <f t="shared" ca="1" si="9"/>
        <v>7924796798323</v>
      </c>
      <c r="L101" s="31" t="s">
        <v>34</v>
      </c>
    </row>
    <row r="102" spans="1:12">
      <c r="A102">
        <v>99</v>
      </c>
      <c r="B102" t="str">
        <f ca="1"/>
        <v>Rise Real Estate</v>
      </c>
      <c r="C102" t="s">
        <v>189</v>
      </c>
      <c r="D102" s="39" t="str">
        <f t="shared" ca="1" si="5"/>
        <v>H</v>
      </c>
      <c r="E102" t="s">
        <v>196</v>
      </c>
      <c r="F102" t="s">
        <v>197</v>
      </c>
      <c r="G102" s="36">
        <f t="shared" ca="1" si="6"/>
        <v>44029</v>
      </c>
      <c r="H102" s="25">
        <f t="shared" ca="1" si="7"/>
        <v>8880737386155</v>
      </c>
      <c r="I102" s="31" t="s">
        <v>34</v>
      </c>
      <c r="J102" s="36">
        <f t="shared" ca="1" si="8"/>
        <v>44767</v>
      </c>
      <c r="K102" s="25">
        <f t="shared" ca="1" si="9"/>
        <v>772496952640</v>
      </c>
      <c r="L102" s="31" t="s">
        <v>34</v>
      </c>
    </row>
    <row r="103" spans="1:12">
      <c r="A103">
        <v>100</v>
      </c>
      <c r="B103" t="str">
        <f ca="1"/>
        <v>Carpe Diem Realty</v>
      </c>
      <c r="C103" t="s">
        <v>192</v>
      </c>
      <c r="D103" s="39" t="str">
        <f t="shared" ca="1" si="5"/>
        <v>P</v>
      </c>
      <c r="E103" t="s">
        <v>199</v>
      </c>
      <c r="F103" t="s">
        <v>191</v>
      </c>
      <c r="G103" s="36">
        <f t="shared" ca="1" si="6"/>
        <v>44056</v>
      </c>
      <c r="H103" s="25">
        <f t="shared" ca="1" si="7"/>
        <v>7672764497571</v>
      </c>
      <c r="I103" s="31" t="s">
        <v>34</v>
      </c>
      <c r="J103" s="36">
        <f t="shared" ca="1" si="8"/>
        <v>44922</v>
      </c>
      <c r="K103" s="25">
        <f t="shared" ca="1" si="9"/>
        <v>7510081327067</v>
      </c>
      <c r="L103" s="31" t="s">
        <v>34</v>
      </c>
    </row>
    <row r="104" spans="1:12">
      <c r="A104">
        <v>101</v>
      </c>
      <c r="B104" t="str">
        <f ca="1"/>
        <v>Equinox Partners Real Property</v>
      </c>
      <c r="C104" t="s">
        <v>195</v>
      </c>
      <c r="D104" s="39" t="str">
        <f t="shared" ca="1" si="5"/>
        <v>G</v>
      </c>
      <c r="E104" t="s">
        <v>190</v>
      </c>
      <c r="F104" t="s">
        <v>194</v>
      </c>
      <c r="G104" s="36">
        <f t="shared" ca="1" si="6"/>
        <v>43956</v>
      </c>
      <c r="H104" s="25">
        <f t="shared" ca="1" si="7"/>
        <v>2349931148167</v>
      </c>
      <c r="I104" s="31" t="s">
        <v>34</v>
      </c>
      <c r="J104" s="36">
        <f t="shared" ca="1" si="8"/>
        <v>44883</v>
      </c>
      <c r="K104" s="25">
        <f t="shared" ca="1" si="9"/>
        <v>4632601697019</v>
      </c>
      <c r="L104" s="31" t="s">
        <v>34</v>
      </c>
    </row>
    <row r="105" spans="1:12">
      <c r="A105">
        <v>102</v>
      </c>
      <c r="B105" t="str">
        <f ca="1"/>
        <v>Capstone Realty</v>
      </c>
      <c r="C105" t="s">
        <v>198</v>
      </c>
      <c r="D105" s="39" t="str">
        <f t="shared" ca="1" si="5"/>
        <v>O</v>
      </c>
      <c r="E105" t="s">
        <v>193</v>
      </c>
      <c r="F105" t="s">
        <v>197</v>
      </c>
      <c r="G105" s="36">
        <f t="shared" ca="1" si="6"/>
        <v>43907</v>
      </c>
      <c r="H105" s="25">
        <f t="shared" ca="1" si="7"/>
        <v>8412381038463</v>
      </c>
      <c r="I105" s="31" t="s">
        <v>34</v>
      </c>
      <c r="J105" s="36">
        <f t="shared" ca="1" si="8"/>
        <v>44612</v>
      </c>
      <c r="K105" s="25">
        <f t="shared" ca="1" si="9"/>
        <v>8407713675986</v>
      </c>
      <c r="L105" s="31" t="s">
        <v>34</v>
      </c>
    </row>
    <row r="106" spans="1:12">
      <c r="A106">
        <v>103</v>
      </c>
      <c r="B106" t="str">
        <f ca="1"/>
        <v>Apogee Property Advisors</v>
      </c>
      <c r="C106" t="s">
        <v>200</v>
      </c>
      <c r="D106" s="39" t="str">
        <f t="shared" ca="1" si="5"/>
        <v>S</v>
      </c>
      <c r="E106" t="s">
        <v>196</v>
      </c>
      <c r="F106" t="s">
        <v>191</v>
      </c>
      <c r="G106" s="36">
        <f t="shared" ca="1" si="6"/>
        <v>44185</v>
      </c>
      <c r="H106" s="25">
        <f t="shared" ca="1" si="7"/>
        <v>8783819228194</v>
      </c>
      <c r="I106" s="31" t="s">
        <v>34</v>
      </c>
      <c r="J106" s="36">
        <f t="shared" ca="1" si="8"/>
        <v>44906</v>
      </c>
      <c r="K106" s="25">
        <f t="shared" ca="1" si="9"/>
        <v>8134659468295</v>
      </c>
      <c r="L106" s="31" t="s">
        <v>34</v>
      </c>
    </row>
    <row r="107" spans="1:12">
      <c r="A107">
        <v>104</v>
      </c>
      <c r="B107" t="str">
        <f ca="1"/>
        <v>Bluebell Real Estate</v>
      </c>
      <c r="C107" t="s">
        <v>201</v>
      </c>
      <c r="D107" s="39" t="str">
        <f t="shared" ca="1" si="5"/>
        <v>P</v>
      </c>
      <c r="E107" t="s">
        <v>199</v>
      </c>
      <c r="F107" t="s">
        <v>194</v>
      </c>
      <c r="G107" s="36">
        <f t="shared" ca="1" si="6"/>
        <v>44049</v>
      </c>
      <c r="H107" s="25">
        <f t="shared" ca="1" si="7"/>
        <v>4300129137000</v>
      </c>
      <c r="I107" s="31" t="s">
        <v>34</v>
      </c>
      <c r="J107" s="36">
        <f t="shared" ca="1" si="8"/>
        <v>44685</v>
      </c>
      <c r="K107" s="25">
        <f t="shared" ca="1" si="9"/>
        <v>2981690898859</v>
      </c>
      <c r="L107" s="31" t="s">
        <v>34</v>
      </c>
    </row>
    <row r="108" spans="1:12">
      <c r="A108">
        <v>105</v>
      </c>
      <c r="B108" t="str">
        <f ca="1"/>
        <v>Excelsior Real Estate</v>
      </c>
      <c r="C108" t="s">
        <v>202</v>
      </c>
      <c r="D108" s="39" t="str">
        <f t="shared" ca="1" si="5"/>
        <v>C</v>
      </c>
      <c r="E108" t="s">
        <v>190</v>
      </c>
      <c r="F108" t="s">
        <v>197</v>
      </c>
      <c r="G108" s="36">
        <f t="shared" ca="1" si="6"/>
        <v>43981</v>
      </c>
      <c r="H108" s="25">
        <f t="shared" ca="1" si="7"/>
        <v>649032281693</v>
      </c>
      <c r="I108" s="31" t="s">
        <v>34</v>
      </c>
      <c r="J108" s="36">
        <f t="shared" ca="1" si="8"/>
        <v>44752</v>
      </c>
      <c r="K108" s="25">
        <f t="shared" ca="1" si="9"/>
        <v>7208193230058</v>
      </c>
      <c r="L108" s="31" t="s">
        <v>34</v>
      </c>
    </row>
    <row r="109" spans="1:12">
      <c r="A109">
        <v>106</v>
      </c>
      <c r="B109" t="str">
        <f ca="1"/>
        <v>Apogee Property Advisors</v>
      </c>
      <c r="C109" t="s">
        <v>189</v>
      </c>
      <c r="D109" s="39" t="str">
        <f t="shared" ca="1" si="5"/>
        <v>Y</v>
      </c>
      <c r="E109" t="s">
        <v>193</v>
      </c>
      <c r="F109" t="s">
        <v>191</v>
      </c>
      <c r="G109" s="36">
        <f t="shared" ca="1" si="6"/>
        <v>44145</v>
      </c>
      <c r="H109" s="25">
        <f t="shared" ca="1" si="7"/>
        <v>304588162973</v>
      </c>
      <c r="I109" s="31" t="s">
        <v>34</v>
      </c>
      <c r="J109" s="36">
        <f t="shared" ca="1" si="8"/>
        <v>44635</v>
      </c>
      <c r="K109" s="25">
        <f t="shared" ca="1" si="9"/>
        <v>654509778048</v>
      </c>
      <c r="L109" s="31" t="s">
        <v>34</v>
      </c>
    </row>
    <row r="110" spans="1:12">
      <c r="A110">
        <v>107</v>
      </c>
      <c r="B110" t="str">
        <f ca="1"/>
        <v>Blue Reef Properties</v>
      </c>
      <c r="C110" t="s">
        <v>192</v>
      </c>
      <c r="D110" s="39" t="str">
        <f t="shared" ca="1" si="5"/>
        <v>F</v>
      </c>
      <c r="E110" t="s">
        <v>196</v>
      </c>
      <c r="F110" t="s">
        <v>194</v>
      </c>
      <c r="G110" s="36">
        <f t="shared" ca="1" si="6"/>
        <v>44008</v>
      </c>
      <c r="H110" s="25">
        <f t="shared" ca="1" si="7"/>
        <v>7344069606002</v>
      </c>
      <c r="I110" s="31" t="s">
        <v>34</v>
      </c>
      <c r="J110" s="36">
        <f t="shared" ca="1" si="8"/>
        <v>44787</v>
      </c>
      <c r="K110" s="25">
        <f t="shared" ca="1" si="9"/>
        <v>4094132692404</v>
      </c>
      <c r="L110" s="31" t="s">
        <v>34</v>
      </c>
    </row>
    <row r="111" spans="1:12">
      <c r="A111">
        <v>108</v>
      </c>
      <c r="B111" t="str">
        <f ca="1"/>
        <v>Fortune Team</v>
      </c>
      <c r="C111" t="s">
        <v>195</v>
      </c>
      <c r="D111" s="39" t="str">
        <f t="shared" ca="1" si="5"/>
        <v>M</v>
      </c>
      <c r="E111" t="s">
        <v>199</v>
      </c>
      <c r="F111" t="s">
        <v>197</v>
      </c>
      <c r="G111" s="36">
        <f t="shared" ca="1" si="6"/>
        <v>44177</v>
      </c>
      <c r="H111" s="25">
        <f t="shared" ca="1" si="7"/>
        <v>7179832859101</v>
      </c>
      <c r="I111" s="31" t="s">
        <v>34</v>
      </c>
      <c r="J111" s="36">
        <f t="shared" ca="1" si="8"/>
        <v>44924</v>
      </c>
      <c r="K111" s="25">
        <f t="shared" ca="1" si="9"/>
        <v>826405128863</v>
      </c>
      <c r="L111" s="31" t="s">
        <v>34</v>
      </c>
    </row>
    <row r="112" spans="1:12">
      <c r="A112">
        <v>109</v>
      </c>
      <c r="B112" t="str">
        <f ca="1"/>
        <v>Full Circle Real Estate</v>
      </c>
      <c r="C112" t="s">
        <v>198</v>
      </c>
      <c r="D112" s="39" t="str">
        <f t="shared" ca="1" si="5"/>
        <v>C</v>
      </c>
      <c r="E112" t="s">
        <v>190</v>
      </c>
      <c r="F112" t="s">
        <v>191</v>
      </c>
      <c r="G112" s="36">
        <f t="shared" ca="1" si="6"/>
        <v>44036</v>
      </c>
      <c r="H112" s="25">
        <f t="shared" ca="1" si="7"/>
        <v>2715699111754</v>
      </c>
      <c r="I112" s="31" t="s">
        <v>34</v>
      </c>
      <c r="J112" s="36">
        <f t="shared" ca="1" si="8"/>
        <v>44723</v>
      </c>
      <c r="K112" s="25">
        <f t="shared" ca="1" si="9"/>
        <v>7228739165128</v>
      </c>
      <c r="L112" s="31" t="s">
        <v>34</v>
      </c>
    </row>
    <row r="113" spans="1:12">
      <c r="A113">
        <v>110</v>
      </c>
      <c r="B113" t="str">
        <f ca="1"/>
        <v>Granite Real Estate</v>
      </c>
      <c r="C113" t="s">
        <v>200</v>
      </c>
      <c r="D113" s="39" t="str">
        <f t="shared" ca="1" si="5"/>
        <v>X</v>
      </c>
      <c r="E113" t="s">
        <v>193</v>
      </c>
      <c r="F113" t="s">
        <v>194</v>
      </c>
      <c r="G113" s="36">
        <f t="shared" ca="1" si="6"/>
        <v>43867</v>
      </c>
      <c r="H113" s="25">
        <f t="shared" ca="1" si="7"/>
        <v>6492364683073</v>
      </c>
      <c r="I113" s="31" t="s">
        <v>34</v>
      </c>
      <c r="J113" s="36">
        <f t="shared" ca="1" si="8"/>
        <v>44775</v>
      </c>
      <c r="K113" s="25">
        <f t="shared" ca="1" si="9"/>
        <v>5363930511151</v>
      </c>
      <c r="L113" s="31" t="s">
        <v>34</v>
      </c>
    </row>
    <row r="114" spans="1:12">
      <c r="A114">
        <v>111</v>
      </c>
      <c r="B114" t="str">
        <f ca="1"/>
        <v>Lark Homes</v>
      </c>
      <c r="C114" t="s">
        <v>201</v>
      </c>
      <c r="D114" s="39" t="str">
        <f t="shared" ca="1" si="5"/>
        <v>D</v>
      </c>
      <c r="E114" t="s">
        <v>196</v>
      </c>
      <c r="F114" t="s">
        <v>197</v>
      </c>
      <c r="G114" s="36">
        <f t="shared" ca="1" si="6"/>
        <v>44059</v>
      </c>
      <c r="H114" s="25">
        <f t="shared" ca="1" si="7"/>
        <v>2961086397140</v>
      </c>
      <c r="I114" s="31" t="s">
        <v>34</v>
      </c>
      <c r="J114" s="36">
        <f t="shared" ca="1" si="8"/>
        <v>44823</v>
      </c>
      <c r="K114" s="25">
        <f t="shared" ca="1" si="9"/>
        <v>800550818012</v>
      </c>
      <c r="L114" s="31" t="s">
        <v>34</v>
      </c>
    </row>
    <row r="115" spans="1:12">
      <c r="A115">
        <v>112</v>
      </c>
      <c r="B115" t="str">
        <f ca="1"/>
        <v>Broadleaf Homes</v>
      </c>
      <c r="C115" t="s">
        <v>202</v>
      </c>
      <c r="D115" s="39" t="str">
        <f t="shared" ca="1" si="5"/>
        <v>J</v>
      </c>
      <c r="E115" t="s">
        <v>199</v>
      </c>
      <c r="F115" t="s">
        <v>191</v>
      </c>
      <c r="G115" s="36">
        <f t="shared" ca="1" si="6"/>
        <v>43891</v>
      </c>
      <c r="H115" s="25">
        <f t="shared" ca="1" si="7"/>
        <v>527761705558</v>
      </c>
      <c r="I115" s="31" t="s">
        <v>34</v>
      </c>
      <c r="J115" s="36">
        <f t="shared" ca="1" si="8"/>
        <v>44674</v>
      </c>
      <c r="K115" s="25">
        <f t="shared" ca="1" si="9"/>
        <v>7309618528545</v>
      </c>
      <c r="L115" s="31" t="s">
        <v>34</v>
      </c>
    </row>
    <row r="116" spans="1:12">
      <c r="A116">
        <v>113</v>
      </c>
      <c r="B116" t="str">
        <f ca="1"/>
        <v>Agile Real Estate Group</v>
      </c>
      <c r="C116" t="s">
        <v>189</v>
      </c>
      <c r="D116" s="39" t="str">
        <f t="shared" ca="1" si="5"/>
        <v>M</v>
      </c>
      <c r="E116" t="s">
        <v>190</v>
      </c>
      <c r="F116" t="s">
        <v>194</v>
      </c>
      <c r="G116" s="36">
        <f t="shared" ca="1" si="6"/>
        <v>43861</v>
      </c>
      <c r="H116" s="25">
        <f t="shared" ca="1" si="7"/>
        <v>171241943853</v>
      </c>
      <c r="I116" s="31" t="s">
        <v>34</v>
      </c>
      <c r="J116" s="36">
        <f t="shared" ca="1" si="8"/>
        <v>44830</v>
      </c>
      <c r="K116" s="25">
        <f t="shared" ca="1" si="9"/>
        <v>8249921256400</v>
      </c>
      <c r="L116" s="31" t="s">
        <v>34</v>
      </c>
    </row>
    <row r="117" spans="1:12">
      <c r="A117">
        <v>114</v>
      </c>
      <c r="B117" t="str">
        <f ca="1"/>
        <v>Echelon Private Client Realty</v>
      </c>
      <c r="C117" t="s">
        <v>192</v>
      </c>
      <c r="D117" s="39" t="str">
        <f t="shared" ca="1" si="5"/>
        <v>X</v>
      </c>
      <c r="E117" t="s">
        <v>193</v>
      </c>
      <c r="F117" t="s">
        <v>197</v>
      </c>
      <c r="G117" s="36">
        <f t="shared" ca="1" si="6"/>
        <v>44095</v>
      </c>
      <c r="H117" s="25">
        <f t="shared" ca="1" si="7"/>
        <v>6908657456700</v>
      </c>
      <c r="I117" s="31" t="s">
        <v>34</v>
      </c>
      <c r="J117" s="36">
        <f t="shared" ca="1" si="8"/>
        <v>44750</v>
      </c>
      <c r="K117" s="25">
        <f t="shared" ca="1" si="9"/>
        <v>4308791801221</v>
      </c>
      <c r="L117" s="31" t="s">
        <v>34</v>
      </c>
    </row>
    <row r="118" spans="1:12">
      <c r="A118">
        <v>115</v>
      </c>
      <c r="B118" t="str">
        <f ca="1"/>
        <v>Adobe Property Advisors</v>
      </c>
      <c r="C118" t="s">
        <v>195</v>
      </c>
      <c r="D118" s="39" t="str">
        <f t="shared" ca="1" si="5"/>
        <v>C</v>
      </c>
      <c r="E118" t="s">
        <v>196</v>
      </c>
      <c r="F118" t="s">
        <v>191</v>
      </c>
      <c r="G118" s="36">
        <f t="shared" ca="1" si="6"/>
        <v>44129</v>
      </c>
      <c r="H118" s="25">
        <f t="shared" ca="1" si="7"/>
        <v>2540116176051</v>
      </c>
      <c r="I118" s="31" t="s">
        <v>34</v>
      </c>
      <c r="J118" s="36">
        <f t="shared" ca="1" si="8"/>
        <v>44832</v>
      </c>
      <c r="K118" s="25">
        <f t="shared" ca="1" si="9"/>
        <v>4659401890895</v>
      </c>
      <c r="L118" s="31" t="s">
        <v>34</v>
      </c>
    </row>
    <row r="119" spans="1:12">
      <c r="A119">
        <v>116</v>
      </c>
      <c r="B119" t="str">
        <f ca="1"/>
        <v>Found Property Group</v>
      </c>
      <c r="C119" t="s">
        <v>198</v>
      </c>
      <c r="D119" s="39" t="str">
        <f t="shared" ca="1" si="5"/>
        <v>T</v>
      </c>
      <c r="E119" t="s">
        <v>199</v>
      </c>
      <c r="F119" t="s">
        <v>194</v>
      </c>
      <c r="G119" s="36">
        <f t="shared" ca="1" si="6"/>
        <v>43891</v>
      </c>
      <c r="H119" s="25">
        <f t="shared" ca="1" si="7"/>
        <v>1782207396399</v>
      </c>
      <c r="I119" s="31" t="s">
        <v>34</v>
      </c>
      <c r="J119" s="36">
        <f t="shared" ca="1" si="8"/>
        <v>44611</v>
      </c>
      <c r="K119" s="25">
        <f t="shared" ca="1" si="9"/>
        <v>2290257258607</v>
      </c>
      <c r="L119" s="31" t="s">
        <v>34</v>
      </c>
    </row>
    <row r="120" spans="1:12">
      <c r="A120">
        <v>117</v>
      </c>
      <c r="B120" t="str">
        <f ca="1"/>
        <v>Herringbone Realty</v>
      </c>
      <c r="C120" t="s">
        <v>200</v>
      </c>
      <c r="D120" s="39" t="str">
        <f t="shared" ca="1" si="5"/>
        <v>B</v>
      </c>
      <c r="E120" t="s">
        <v>190</v>
      </c>
      <c r="F120" t="s">
        <v>197</v>
      </c>
      <c r="G120" s="36">
        <f t="shared" ca="1" si="6"/>
        <v>44059</v>
      </c>
      <c r="H120" s="25">
        <f t="shared" ca="1" si="7"/>
        <v>5535528734549</v>
      </c>
      <c r="I120" s="31" t="s">
        <v>34</v>
      </c>
      <c r="J120" s="36">
        <f t="shared" ca="1" si="8"/>
        <v>44915</v>
      </c>
      <c r="K120" s="25">
        <f t="shared" ca="1" si="9"/>
        <v>8230600034772</v>
      </c>
      <c r="L120" s="31" t="s">
        <v>34</v>
      </c>
    </row>
    <row r="121" spans="1:12">
      <c r="A121">
        <v>118</v>
      </c>
      <c r="B121" t="str">
        <f ca="1"/>
        <v>Lark Homes</v>
      </c>
      <c r="C121" t="s">
        <v>201</v>
      </c>
      <c r="D121" s="39" t="str">
        <f t="shared" ca="1" si="5"/>
        <v>W</v>
      </c>
      <c r="E121" t="s">
        <v>193</v>
      </c>
      <c r="F121" t="s">
        <v>191</v>
      </c>
      <c r="G121" s="36">
        <f t="shared" ca="1" si="6"/>
        <v>44162</v>
      </c>
      <c r="H121" s="25">
        <f t="shared" ca="1" si="7"/>
        <v>304924993885</v>
      </c>
      <c r="I121" s="31" t="s">
        <v>34</v>
      </c>
      <c r="J121" s="36">
        <f t="shared" ca="1" si="8"/>
        <v>44612</v>
      </c>
      <c r="K121" s="25">
        <f t="shared" ca="1" si="9"/>
        <v>8645806402344</v>
      </c>
      <c r="L121" s="31" t="s">
        <v>34</v>
      </c>
    </row>
    <row r="122" spans="1:12">
      <c r="A122">
        <v>119</v>
      </c>
      <c r="B122" t="str">
        <f ca="1"/>
        <v>Stellar Property Advisors</v>
      </c>
      <c r="C122" t="s">
        <v>202</v>
      </c>
      <c r="D122" s="39" t="str">
        <f t="shared" ca="1" si="5"/>
        <v>X</v>
      </c>
      <c r="E122" t="s">
        <v>196</v>
      </c>
      <c r="F122" t="s">
        <v>194</v>
      </c>
      <c r="G122" s="36">
        <f t="shared" ca="1" si="6"/>
        <v>43924</v>
      </c>
      <c r="H122" s="25">
        <f t="shared" ca="1" si="7"/>
        <v>5019974263784</v>
      </c>
      <c r="I122" s="31" t="s">
        <v>34</v>
      </c>
      <c r="J122" s="36">
        <f t="shared" ca="1" si="8"/>
        <v>44771</v>
      </c>
      <c r="K122" s="25">
        <f t="shared" ca="1" si="9"/>
        <v>6675864710339</v>
      </c>
      <c r="L122" s="31" t="s">
        <v>34</v>
      </c>
    </row>
    <row r="123" spans="1:12">
      <c r="A123">
        <v>120</v>
      </c>
      <c r="B123" t="str">
        <f ca="1"/>
        <v>Picket Fence Realty</v>
      </c>
      <c r="C123" t="s">
        <v>189</v>
      </c>
      <c r="D123" s="39" t="str">
        <f t="shared" ca="1" si="5"/>
        <v>L</v>
      </c>
      <c r="E123" t="s">
        <v>199</v>
      </c>
      <c r="F123" t="s">
        <v>197</v>
      </c>
      <c r="G123" s="36">
        <f t="shared" ca="1" si="6"/>
        <v>43976</v>
      </c>
      <c r="H123" s="25">
        <f t="shared" ca="1" si="7"/>
        <v>8449014652552</v>
      </c>
      <c r="I123" s="31" t="s">
        <v>34</v>
      </c>
      <c r="J123" s="36">
        <f t="shared" ca="1" si="8"/>
        <v>44827</v>
      </c>
      <c r="K123" s="25">
        <f t="shared" ca="1" si="9"/>
        <v>6731665757067</v>
      </c>
      <c r="L123" s="31" t="s">
        <v>34</v>
      </c>
    </row>
    <row r="124" spans="1:12">
      <c r="A124">
        <v>121</v>
      </c>
      <c r="B124" t="str">
        <f ca="1"/>
        <v>Platinum Property Advisors</v>
      </c>
      <c r="C124" t="s">
        <v>192</v>
      </c>
      <c r="D124" s="39" t="str">
        <f t="shared" ca="1" si="5"/>
        <v>M</v>
      </c>
      <c r="E124" t="s">
        <v>190</v>
      </c>
      <c r="F124" t="s">
        <v>191</v>
      </c>
      <c r="G124" s="36">
        <f t="shared" ca="1" si="6"/>
        <v>43947</v>
      </c>
      <c r="H124" s="25">
        <f t="shared" ca="1" si="7"/>
        <v>7529788660304</v>
      </c>
      <c r="I124" s="31" t="s">
        <v>34</v>
      </c>
      <c r="J124" s="36">
        <f t="shared" ca="1" si="8"/>
        <v>44917</v>
      </c>
      <c r="K124" s="25">
        <f t="shared" ca="1" si="9"/>
        <v>3701356282062</v>
      </c>
      <c r="L124" s="31" t="s">
        <v>34</v>
      </c>
    </row>
    <row r="125" spans="1:12">
      <c r="A125">
        <v>122</v>
      </c>
      <c r="B125" t="str">
        <f ca="1"/>
        <v>The Viola Group</v>
      </c>
      <c r="C125" t="s">
        <v>195</v>
      </c>
      <c r="D125" s="39" t="str">
        <f t="shared" ca="1" si="5"/>
        <v>Y</v>
      </c>
      <c r="E125" t="s">
        <v>193</v>
      </c>
      <c r="F125" t="s">
        <v>194</v>
      </c>
      <c r="G125" s="36">
        <f t="shared" ca="1" si="6"/>
        <v>44187</v>
      </c>
      <c r="H125" s="25">
        <f t="shared" ca="1" si="7"/>
        <v>5148351620518</v>
      </c>
      <c r="I125" s="31" t="s">
        <v>34</v>
      </c>
      <c r="J125" s="36">
        <f t="shared" ca="1" si="8"/>
        <v>44907</v>
      </c>
      <c r="K125" s="25">
        <f t="shared" ca="1" si="9"/>
        <v>3562057394838</v>
      </c>
      <c r="L125" s="31" t="s">
        <v>34</v>
      </c>
    </row>
    <row r="126" spans="1:12">
      <c r="A126">
        <v>123</v>
      </c>
      <c r="B126" t="str">
        <f ca="1"/>
        <v>Jasper Realty</v>
      </c>
      <c r="C126" t="s">
        <v>198</v>
      </c>
      <c r="D126" s="39" t="str">
        <f t="shared" ca="1" si="5"/>
        <v>F</v>
      </c>
      <c r="E126" t="s">
        <v>196</v>
      </c>
      <c r="F126" t="s">
        <v>197</v>
      </c>
      <c r="G126" s="36">
        <f t="shared" ca="1" si="6"/>
        <v>43946</v>
      </c>
      <c r="H126" s="25">
        <f t="shared" ca="1" si="7"/>
        <v>3545314623410</v>
      </c>
      <c r="I126" s="31" t="s">
        <v>34</v>
      </c>
      <c r="J126" s="36">
        <f t="shared" ca="1" si="8"/>
        <v>44800</v>
      </c>
      <c r="K126" s="25">
        <f t="shared" ca="1" si="9"/>
        <v>3483682021779</v>
      </c>
      <c r="L126" s="31" t="s">
        <v>34</v>
      </c>
    </row>
    <row r="127" spans="1:12">
      <c r="A127">
        <v>124</v>
      </c>
      <c r="B127" t="str">
        <f ca="1"/>
        <v>Herringbone Realty</v>
      </c>
      <c r="C127" t="s">
        <v>200</v>
      </c>
      <c r="D127" s="39" t="str">
        <f t="shared" ca="1" si="5"/>
        <v>O</v>
      </c>
      <c r="E127" t="s">
        <v>199</v>
      </c>
      <c r="F127" t="s">
        <v>191</v>
      </c>
      <c r="G127" s="36">
        <f t="shared" ca="1" si="6"/>
        <v>44133</v>
      </c>
      <c r="H127" s="25">
        <f t="shared" ca="1" si="7"/>
        <v>1549851564337</v>
      </c>
      <c r="I127" s="31" t="s">
        <v>34</v>
      </c>
      <c r="J127" s="36">
        <f t="shared" ca="1" si="8"/>
        <v>44574</v>
      </c>
      <c r="K127" s="25">
        <f t="shared" ca="1" si="9"/>
        <v>675514480480</v>
      </c>
      <c r="L127" s="31" t="s">
        <v>34</v>
      </c>
    </row>
    <row r="128" spans="1:12">
      <c r="A128">
        <v>125</v>
      </c>
      <c r="B128" t="str">
        <f ca="1"/>
        <v>Pagoda Partners Realty</v>
      </c>
      <c r="C128" t="s">
        <v>201</v>
      </c>
      <c r="D128" s="39" t="str">
        <f t="shared" ca="1" si="5"/>
        <v>K</v>
      </c>
      <c r="E128" t="s">
        <v>190</v>
      </c>
      <c r="F128" t="s">
        <v>194</v>
      </c>
      <c r="G128" s="36">
        <f t="shared" ca="1" si="6"/>
        <v>44112</v>
      </c>
      <c r="H128" s="25">
        <f t="shared" ca="1" si="7"/>
        <v>4714407007664</v>
      </c>
      <c r="I128" s="31" t="s">
        <v>34</v>
      </c>
      <c r="J128" s="36">
        <f t="shared" ca="1" si="8"/>
        <v>44860</v>
      </c>
      <c r="K128" s="25">
        <f t="shared" ca="1" si="9"/>
        <v>3083161167858</v>
      </c>
      <c r="L128" s="31" t="s">
        <v>34</v>
      </c>
    </row>
    <row r="129" spans="1:12">
      <c r="A129">
        <v>126</v>
      </c>
      <c r="B129" t="str">
        <f ca="1"/>
        <v>Cardinal Realty</v>
      </c>
      <c r="C129" t="s">
        <v>202</v>
      </c>
      <c r="D129" s="39" t="str">
        <f t="shared" ca="1" si="5"/>
        <v>O</v>
      </c>
      <c r="E129" t="s">
        <v>193</v>
      </c>
      <c r="F129" t="s">
        <v>197</v>
      </c>
      <c r="G129" s="36">
        <f t="shared" ca="1" si="6"/>
        <v>43899</v>
      </c>
      <c r="H129" s="25">
        <f t="shared" ca="1" si="7"/>
        <v>4975174306531</v>
      </c>
      <c r="I129" s="31" t="s">
        <v>34</v>
      </c>
      <c r="J129" s="36">
        <f t="shared" ca="1" si="8"/>
        <v>44688</v>
      </c>
      <c r="K129" s="25">
        <f t="shared" ca="1" si="9"/>
        <v>4901611847230</v>
      </c>
      <c r="L129" s="31" t="s">
        <v>34</v>
      </c>
    </row>
    <row r="130" spans="1:12">
      <c r="A130">
        <v>127</v>
      </c>
      <c r="B130" t="str">
        <f ca="1"/>
        <v>Carpe Diem Realty</v>
      </c>
      <c r="C130" t="s">
        <v>189</v>
      </c>
      <c r="D130" s="39" t="str">
        <f t="shared" ca="1" si="5"/>
        <v>X</v>
      </c>
      <c r="E130" t="s">
        <v>196</v>
      </c>
      <c r="F130" t="s">
        <v>191</v>
      </c>
      <c r="G130" s="36">
        <f t="shared" ca="1" si="6"/>
        <v>43885</v>
      </c>
      <c r="H130" s="25">
        <f t="shared" ca="1" si="7"/>
        <v>4933550903719</v>
      </c>
      <c r="I130" s="31" t="s">
        <v>34</v>
      </c>
      <c r="J130" s="36">
        <f t="shared" ca="1" si="8"/>
        <v>44905</v>
      </c>
      <c r="K130" s="25">
        <f t="shared" ca="1" si="9"/>
        <v>8614665666908</v>
      </c>
      <c r="L130" s="31" t="s">
        <v>34</v>
      </c>
    </row>
    <row r="131" spans="1:12">
      <c r="A131">
        <v>128</v>
      </c>
      <c r="B131" t="str">
        <f ca="1"/>
        <v>Nestled Real Estate</v>
      </c>
      <c r="C131" t="s">
        <v>192</v>
      </c>
      <c r="D131" s="39" t="str">
        <f t="shared" ca="1" si="5"/>
        <v>J</v>
      </c>
      <c r="E131" t="s">
        <v>199</v>
      </c>
      <c r="F131" t="s">
        <v>194</v>
      </c>
      <c r="G131" s="36">
        <f t="shared" ca="1" si="6"/>
        <v>44106</v>
      </c>
      <c r="H131" s="25">
        <f t="shared" ca="1" si="7"/>
        <v>6358600552451</v>
      </c>
      <c r="I131" s="31" t="s">
        <v>34</v>
      </c>
      <c r="J131" s="36">
        <f t="shared" ca="1" si="8"/>
        <v>44735</v>
      </c>
      <c r="K131" s="25">
        <f t="shared" ca="1" si="9"/>
        <v>6845467934535</v>
      </c>
      <c r="L131" s="31" t="s">
        <v>34</v>
      </c>
    </row>
    <row r="132" spans="1:12">
      <c r="A132">
        <v>129</v>
      </c>
      <c r="B132" t="str">
        <f ca="1"/>
        <v>Excelsior Real Estate</v>
      </c>
      <c r="C132" t="s">
        <v>195</v>
      </c>
      <c r="D132" s="39" t="str">
        <f t="shared" ca="1" si="5"/>
        <v>F</v>
      </c>
      <c r="E132" t="s">
        <v>190</v>
      </c>
      <c r="F132" t="s">
        <v>197</v>
      </c>
      <c r="G132" s="36">
        <f t="shared" ca="1" si="6"/>
        <v>43964</v>
      </c>
      <c r="H132" s="25">
        <f t="shared" ca="1" si="7"/>
        <v>6115755352467</v>
      </c>
      <c r="I132" s="31" t="s">
        <v>34</v>
      </c>
      <c r="J132" s="36">
        <f t="shared" ca="1" si="8"/>
        <v>44814</v>
      </c>
      <c r="K132" s="25">
        <f t="shared" ca="1" si="9"/>
        <v>1819999565100</v>
      </c>
      <c r="L132" s="31" t="s">
        <v>34</v>
      </c>
    </row>
    <row r="133" spans="1:12">
      <c r="A133">
        <v>130</v>
      </c>
      <c r="B133" t="str">
        <f ca="1"/>
        <v>Apogee Property Advisors</v>
      </c>
      <c r="C133" t="s">
        <v>198</v>
      </c>
      <c r="D133" s="39" t="str">
        <f t="shared" ref="D133:D150" ca="1" si="10">CHAR(RANDBETWEEN(65,90))</f>
        <v>Z</v>
      </c>
      <c r="E133" t="s">
        <v>193</v>
      </c>
      <c r="F133" t="s">
        <v>191</v>
      </c>
      <c r="G133" s="36">
        <f t="shared" ref="G133:G150" ca="1" si="11">RANDBETWEEN(DATE(2020,1,1),DATE(2020,12,31))</f>
        <v>44114</v>
      </c>
      <c r="H133" s="25">
        <f t="shared" ref="H133:H150" ca="1" si="12">RANDBETWEEN(100000000000,9000000000000)</f>
        <v>6905897969114</v>
      </c>
      <c r="I133" s="31" t="s">
        <v>34</v>
      </c>
      <c r="J133" s="36">
        <f t="shared" ref="J133:J150" ca="1" si="13">RANDBETWEEN(DATE(2022,1,1),DATE(2022,12,31))</f>
        <v>44748</v>
      </c>
      <c r="K133" s="25">
        <f t="shared" ref="K133:K150" ca="1" si="14">RANDBETWEEN(100000000000,9000000000000)</f>
        <v>1366023825670</v>
      </c>
      <c r="L133" s="31" t="s">
        <v>34</v>
      </c>
    </row>
    <row r="134" spans="1:12">
      <c r="A134">
        <v>131</v>
      </c>
      <c r="B134" t="str">
        <f ca="1"/>
        <v>Divine Nooks</v>
      </c>
      <c r="C134" t="s">
        <v>200</v>
      </c>
      <c r="D134" s="39" t="str">
        <f t="shared" ca="1" si="10"/>
        <v>F</v>
      </c>
      <c r="E134" t="s">
        <v>196</v>
      </c>
      <c r="F134" t="s">
        <v>194</v>
      </c>
      <c r="G134" s="36">
        <f t="shared" ca="1" si="11"/>
        <v>43885</v>
      </c>
      <c r="H134" s="25">
        <f t="shared" ca="1" si="12"/>
        <v>5272345432674</v>
      </c>
      <c r="I134" s="31" t="s">
        <v>34</v>
      </c>
      <c r="J134" s="36">
        <f t="shared" ca="1" si="13"/>
        <v>44775</v>
      </c>
      <c r="K134" s="25">
        <f t="shared" ca="1" si="14"/>
        <v>924580768778</v>
      </c>
      <c r="L134" s="31" t="s">
        <v>34</v>
      </c>
    </row>
    <row r="135" spans="1:12">
      <c r="A135">
        <v>132</v>
      </c>
      <c r="B135" t="str">
        <f ca="1"/>
        <v>Beacon Homes LLC</v>
      </c>
      <c r="C135" t="s">
        <v>201</v>
      </c>
      <c r="D135" s="39" t="str">
        <f t="shared" ca="1" si="10"/>
        <v>Z</v>
      </c>
      <c r="E135" t="s">
        <v>199</v>
      </c>
      <c r="F135" t="s">
        <v>197</v>
      </c>
      <c r="G135" s="36">
        <f t="shared" ca="1" si="11"/>
        <v>43910</v>
      </c>
      <c r="H135" s="25">
        <f t="shared" ca="1" si="12"/>
        <v>1524324732822</v>
      </c>
      <c r="I135" s="31" t="s">
        <v>34</v>
      </c>
      <c r="J135" s="36">
        <f t="shared" ca="1" si="13"/>
        <v>44731</v>
      </c>
      <c r="K135" s="25">
        <f t="shared" ca="1" si="14"/>
        <v>1522581955540</v>
      </c>
      <c r="L135" s="31" t="s">
        <v>34</v>
      </c>
    </row>
    <row r="136" spans="1:12">
      <c r="A136">
        <v>133</v>
      </c>
      <c r="B136" t="str">
        <f ca="1"/>
        <v>Anchor Group Real Estate</v>
      </c>
      <c r="C136" t="s">
        <v>202</v>
      </c>
      <c r="D136" s="39" t="str">
        <f t="shared" ca="1" si="10"/>
        <v>Q</v>
      </c>
      <c r="E136" t="s">
        <v>190</v>
      </c>
      <c r="F136" t="s">
        <v>191</v>
      </c>
      <c r="G136" s="36">
        <f t="shared" ca="1" si="11"/>
        <v>44011</v>
      </c>
      <c r="H136" s="25">
        <f t="shared" ca="1" si="12"/>
        <v>2999488292087</v>
      </c>
      <c r="I136" s="31" t="s">
        <v>34</v>
      </c>
      <c r="J136" s="36">
        <f t="shared" ca="1" si="13"/>
        <v>44909</v>
      </c>
      <c r="K136" s="25">
        <f t="shared" ca="1" si="14"/>
        <v>5108488525875</v>
      </c>
      <c r="L136" s="31" t="s">
        <v>34</v>
      </c>
    </row>
    <row r="137" spans="1:12">
      <c r="A137">
        <v>134</v>
      </c>
      <c r="B137" t="str">
        <f ca="1"/>
        <v>Citadel Partners Realty</v>
      </c>
      <c r="C137" t="s">
        <v>189</v>
      </c>
      <c r="D137" s="39" t="str">
        <f t="shared" ca="1" si="10"/>
        <v>E</v>
      </c>
      <c r="E137" t="s">
        <v>193</v>
      </c>
      <c r="F137" t="s">
        <v>194</v>
      </c>
      <c r="G137" s="36">
        <f t="shared" ca="1" si="11"/>
        <v>44123</v>
      </c>
      <c r="H137" s="25">
        <f t="shared" ca="1" si="12"/>
        <v>3448467727798</v>
      </c>
      <c r="I137" s="31" t="s">
        <v>34</v>
      </c>
      <c r="J137" s="36">
        <f t="shared" ca="1" si="13"/>
        <v>44602</v>
      </c>
      <c r="K137" s="25">
        <f t="shared" ca="1" si="14"/>
        <v>1470323722679</v>
      </c>
      <c r="L137" s="31" t="s">
        <v>34</v>
      </c>
    </row>
    <row r="138" spans="1:12">
      <c r="A138">
        <v>135</v>
      </c>
      <c r="B138" t="str">
        <f ca="1"/>
        <v>Privet Group Real Property</v>
      </c>
      <c r="C138" t="s">
        <v>192</v>
      </c>
      <c r="D138" s="39" t="str">
        <f t="shared" ca="1" si="10"/>
        <v>U</v>
      </c>
      <c r="E138" t="s">
        <v>196</v>
      </c>
      <c r="F138" t="s">
        <v>197</v>
      </c>
      <c r="G138" s="36">
        <f t="shared" ca="1" si="11"/>
        <v>44135</v>
      </c>
      <c r="H138" s="25">
        <f t="shared" ca="1" si="12"/>
        <v>7226197703412</v>
      </c>
      <c r="I138" s="31" t="s">
        <v>34</v>
      </c>
      <c r="J138" s="36">
        <f t="shared" ca="1" si="13"/>
        <v>44721</v>
      </c>
      <c r="K138" s="25">
        <f t="shared" ca="1" si="14"/>
        <v>4784885471050</v>
      </c>
      <c r="L138" s="31" t="s">
        <v>34</v>
      </c>
    </row>
    <row r="139" spans="1:12">
      <c r="A139">
        <v>136</v>
      </c>
      <c r="B139" t="str">
        <f ca="1"/>
        <v>Brick Lane Realty</v>
      </c>
      <c r="C139" t="s">
        <v>195</v>
      </c>
      <c r="D139" s="39" t="str">
        <f t="shared" ca="1" si="10"/>
        <v>N</v>
      </c>
      <c r="E139" t="s">
        <v>199</v>
      </c>
      <c r="F139" t="s">
        <v>191</v>
      </c>
      <c r="G139" s="36">
        <f t="shared" ca="1" si="11"/>
        <v>43908</v>
      </c>
      <c r="H139" s="25">
        <f t="shared" ca="1" si="12"/>
        <v>2728364126188</v>
      </c>
      <c r="I139" s="31" t="s">
        <v>34</v>
      </c>
      <c r="J139" s="36">
        <f t="shared" ca="1" si="13"/>
        <v>44782</v>
      </c>
      <c r="K139" s="25">
        <f t="shared" ca="1" si="14"/>
        <v>7431514243999</v>
      </c>
      <c r="L139" s="31" t="s">
        <v>34</v>
      </c>
    </row>
    <row r="140" spans="1:12">
      <c r="A140">
        <v>137</v>
      </c>
      <c r="B140" t="str">
        <f ca="1"/>
        <v>Bond &amp; Main Real Estate Group</v>
      </c>
      <c r="C140" t="s">
        <v>198</v>
      </c>
      <c r="D140" s="39" t="str">
        <f t="shared" ca="1" si="10"/>
        <v>T</v>
      </c>
      <c r="E140" t="s">
        <v>190</v>
      </c>
      <c r="F140" t="s">
        <v>194</v>
      </c>
      <c r="G140" s="36">
        <f t="shared" ca="1" si="11"/>
        <v>44051</v>
      </c>
      <c r="H140" s="25">
        <f t="shared" ca="1" si="12"/>
        <v>8060984600754</v>
      </c>
      <c r="I140" s="31" t="s">
        <v>34</v>
      </c>
      <c r="J140" s="36">
        <f t="shared" ca="1" si="13"/>
        <v>44754</v>
      </c>
      <c r="K140" s="25">
        <f t="shared" ca="1" si="14"/>
        <v>2963342008171</v>
      </c>
      <c r="L140" s="31" t="s">
        <v>34</v>
      </c>
    </row>
    <row r="141" spans="1:12">
      <c r="A141">
        <v>138</v>
      </c>
      <c r="B141" t="str">
        <f ca="1"/>
        <v>Weathervane Group Realty</v>
      </c>
      <c r="C141" t="s">
        <v>200</v>
      </c>
      <c r="D141" s="39" t="str">
        <f t="shared" ca="1" si="10"/>
        <v>A</v>
      </c>
      <c r="E141" t="s">
        <v>193</v>
      </c>
      <c r="F141" t="s">
        <v>197</v>
      </c>
      <c r="G141" s="36">
        <f t="shared" ca="1" si="11"/>
        <v>44182</v>
      </c>
      <c r="H141" s="25">
        <f t="shared" ca="1" si="12"/>
        <v>8407039892168</v>
      </c>
      <c r="I141" s="31" t="s">
        <v>34</v>
      </c>
      <c r="J141" s="36">
        <f t="shared" ca="1" si="13"/>
        <v>44839</v>
      </c>
      <c r="K141" s="25">
        <f t="shared" ca="1" si="14"/>
        <v>3754381772142</v>
      </c>
      <c r="L141" s="31" t="s">
        <v>34</v>
      </c>
    </row>
    <row r="142" spans="1:12">
      <c r="A142">
        <v>139</v>
      </c>
      <c r="B142" t="str">
        <f ca="1"/>
        <v>Adobe Property Advisors</v>
      </c>
      <c r="C142" t="s">
        <v>201</v>
      </c>
      <c r="D142" s="39" t="str">
        <f t="shared" ca="1" si="10"/>
        <v>D</v>
      </c>
      <c r="E142" t="s">
        <v>196</v>
      </c>
      <c r="F142" t="s">
        <v>191</v>
      </c>
      <c r="G142" s="36">
        <f t="shared" ca="1" si="11"/>
        <v>44041</v>
      </c>
      <c r="H142" s="25">
        <f t="shared" ca="1" si="12"/>
        <v>613806583051</v>
      </c>
      <c r="I142" s="31" t="s">
        <v>34</v>
      </c>
      <c r="J142" s="36">
        <f t="shared" ca="1" si="13"/>
        <v>44874</v>
      </c>
      <c r="K142" s="25">
        <f t="shared" ca="1" si="14"/>
        <v>508464815078</v>
      </c>
      <c r="L142" s="31" t="s">
        <v>34</v>
      </c>
    </row>
    <row r="143" spans="1:12">
      <c r="A143">
        <v>140</v>
      </c>
      <c r="B143" t="str">
        <f ca="1"/>
        <v>Sterling Property Advisors</v>
      </c>
      <c r="C143" t="s">
        <v>202</v>
      </c>
      <c r="D143" s="39" t="str">
        <f t="shared" ca="1" si="10"/>
        <v>W</v>
      </c>
      <c r="E143" t="s">
        <v>199</v>
      </c>
      <c r="F143" t="s">
        <v>194</v>
      </c>
      <c r="G143" s="36">
        <f t="shared" ca="1" si="11"/>
        <v>44077</v>
      </c>
      <c r="H143" s="25">
        <f t="shared" ca="1" si="12"/>
        <v>2057029434299</v>
      </c>
      <c r="I143" s="31" t="s">
        <v>34</v>
      </c>
      <c r="J143" s="36">
        <f t="shared" ca="1" si="13"/>
        <v>44873</v>
      </c>
      <c r="K143" s="25">
        <f t="shared" ca="1" si="14"/>
        <v>8620445617218</v>
      </c>
      <c r="L143" s="31" t="s">
        <v>34</v>
      </c>
    </row>
    <row r="144" spans="1:12">
      <c r="A144">
        <v>141</v>
      </c>
      <c r="B144" t="str">
        <f ca="1"/>
        <v>Devoe Partners</v>
      </c>
      <c r="C144" t="s">
        <v>189</v>
      </c>
      <c r="D144" s="39" t="str">
        <f t="shared" ca="1" si="10"/>
        <v>S</v>
      </c>
      <c r="E144" t="s">
        <v>190</v>
      </c>
      <c r="F144" t="s">
        <v>197</v>
      </c>
      <c r="G144" s="36">
        <f t="shared" ca="1" si="11"/>
        <v>44009</v>
      </c>
      <c r="H144" s="25">
        <f t="shared" ca="1" si="12"/>
        <v>3819400947536</v>
      </c>
      <c r="I144" s="31" t="s">
        <v>34</v>
      </c>
      <c r="J144" s="36">
        <f t="shared" ca="1" si="13"/>
        <v>44794</v>
      </c>
      <c r="K144" s="25">
        <f t="shared" ca="1" si="14"/>
        <v>6022491706908</v>
      </c>
      <c r="L144" s="31" t="s">
        <v>34</v>
      </c>
    </row>
    <row r="145" spans="1:12">
      <c r="A145">
        <v>142</v>
      </c>
      <c r="B145" t="str">
        <f ca="1"/>
        <v>Rise Real Estate</v>
      </c>
      <c r="C145" t="s">
        <v>192</v>
      </c>
      <c r="D145" s="39" t="str">
        <f t="shared" ca="1" si="10"/>
        <v>V</v>
      </c>
      <c r="E145" t="s">
        <v>193</v>
      </c>
      <c r="F145" t="s">
        <v>191</v>
      </c>
      <c r="G145" s="36">
        <f t="shared" ca="1" si="11"/>
        <v>43865</v>
      </c>
      <c r="H145" s="25">
        <f t="shared" ca="1" si="12"/>
        <v>4099344449115</v>
      </c>
      <c r="I145" s="31" t="s">
        <v>34</v>
      </c>
      <c r="J145" s="36">
        <f t="shared" ca="1" si="13"/>
        <v>44619</v>
      </c>
      <c r="K145" s="25">
        <f t="shared" ca="1" si="14"/>
        <v>1373334674051</v>
      </c>
      <c r="L145" s="31" t="s">
        <v>34</v>
      </c>
    </row>
    <row r="146" spans="1:12">
      <c r="A146">
        <v>143</v>
      </c>
      <c r="B146" t="str">
        <f ca="1"/>
        <v>Driggs Realty</v>
      </c>
      <c r="C146" t="s">
        <v>195</v>
      </c>
      <c r="D146" s="39" t="str">
        <f t="shared" ca="1" si="10"/>
        <v>P</v>
      </c>
      <c r="E146" t="s">
        <v>196</v>
      </c>
      <c r="F146" t="s">
        <v>194</v>
      </c>
      <c r="G146" s="36">
        <f t="shared" ca="1" si="11"/>
        <v>44150</v>
      </c>
      <c r="H146" s="25">
        <f t="shared" ca="1" si="12"/>
        <v>6656422030117</v>
      </c>
      <c r="I146" s="31" t="s">
        <v>34</v>
      </c>
      <c r="J146" s="36">
        <f t="shared" ca="1" si="13"/>
        <v>44812</v>
      </c>
      <c r="K146" s="25">
        <f t="shared" ca="1" si="14"/>
        <v>4843451273277</v>
      </c>
      <c r="L146" s="31" t="s">
        <v>34</v>
      </c>
    </row>
    <row r="147" spans="1:12">
      <c r="A147">
        <v>144</v>
      </c>
      <c r="B147" t="str">
        <f ca="1"/>
        <v>Broadleaf Homes</v>
      </c>
      <c r="C147" t="s">
        <v>198</v>
      </c>
      <c r="D147" s="39" t="str">
        <f t="shared" ca="1" si="10"/>
        <v>B</v>
      </c>
      <c r="E147" t="s">
        <v>199</v>
      </c>
      <c r="F147" t="s">
        <v>197</v>
      </c>
      <c r="G147" s="36">
        <f t="shared" ca="1" si="11"/>
        <v>43871</v>
      </c>
      <c r="H147" s="25">
        <f t="shared" ca="1" si="12"/>
        <v>5633909952340</v>
      </c>
      <c r="I147" s="31" t="s">
        <v>34</v>
      </c>
      <c r="J147" s="36">
        <f t="shared" ca="1" si="13"/>
        <v>44633</v>
      </c>
      <c r="K147" s="25">
        <f t="shared" ca="1" si="14"/>
        <v>271846360939</v>
      </c>
      <c r="L147" s="31" t="s">
        <v>34</v>
      </c>
    </row>
    <row r="148" spans="1:12">
      <c r="A148">
        <v>145</v>
      </c>
      <c r="B148" t="str">
        <f ca="1"/>
        <v>Black Oak Realty</v>
      </c>
      <c r="C148" t="s">
        <v>200</v>
      </c>
      <c r="D148" s="39" t="str">
        <f t="shared" ca="1" si="10"/>
        <v>M</v>
      </c>
      <c r="E148" t="s">
        <v>190</v>
      </c>
      <c r="F148" t="s">
        <v>191</v>
      </c>
      <c r="G148" s="36">
        <f t="shared" ca="1" si="11"/>
        <v>44015</v>
      </c>
      <c r="H148" s="25">
        <f t="shared" ca="1" si="12"/>
        <v>368332791584</v>
      </c>
      <c r="I148" s="31" t="s">
        <v>34</v>
      </c>
      <c r="J148" s="36">
        <f t="shared" ca="1" si="13"/>
        <v>44866</v>
      </c>
      <c r="K148" s="25">
        <f t="shared" ca="1" si="14"/>
        <v>8931127434822</v>
      </c>
      <c r="L148" s="31" t="s">
        <v>34</v>
      </c>
    </row>
    <row r="149" spans="1:12">
      <c r="A149">
        <v>146</v>
      </c>
      <c r="B149" t="str">
        <f ca="1"/>
        <v>Lamplighters Realty</v>
      </c>
      <c r="C149" t="s">
        <v>201</v>
      </c>
      <c r="D149" s="39" t="str">
        <f t="shared" ca="1" si="10"/>
        <v>B</v>
      </c>
      <c r="E149" t="s">
        <v>193</v>
      </c>
      <c r="F149" t="s">
        <v>194</v>
      </c>
      <c r="G149" s="36">
        <f t="shared" ca="1" si="11"/>
        <v>43883</v>
      </c>
      <c r="H149" s="25">
        <f t="shared" ca="1" si="12"/>
        <v>7636045678456</v>
      </c>
      <c r="I149" s="31" t="s">
        <v>34</v>
      </c>
      <c r="J149" s="36">
        <f t="shared" ca="1" si="13"/>
        <v>44917</v>
      </c>
      <c r="K149" s="25">
        <f t="shared" ca="1" si="14"/>
        <v>4295285915491</v>
      </c>
      <c r="L149" s="31" t="s">
        <v>34</v>
      </c>
    </row>
    <row r="150" spans="1:12">
      <c r="A150">
        <v>147</v>
      </c>
      <c r="B150" t="str">
        <f ca="1"/>
        <v>Banyan Tree Realty</v>
      </c>
      <c r="C150" t="s">
        <v>202</v>
      </c>
      <c r="D150" s="39" t="str">
        <f t="shared" ca="1" si="10"/>
        <v>E</v>
      </c>
      <c r="E150" t="s">
        <v>196</v>
      </c>
      <c r="F150" t="s">
        <v>197</v>
      </c>
      <c r="G150" s="36">
        <f t="shared" ca="1" si="11"/>
        <v>43990</v>
      </c>
      <c r="H150" s="25">
        <f t="shared" ca="1" si="12"/>
        <v>6355584125156</v>
      </c>
      <c r="I150" s="31" t="s">
        <v>34</v>
      </c>
      <c r="J150" s="36">
        <f t="shared" ca="1" si="13"/>
        <v>44836</v>
      </c>
      <c r="K150" s="25">
        <f t="shared" ca="1" si="14"/>
        <v>8619004705516</v>
      </c>
      <c r="L150" s="31" t="s">
        <v>34</v>
      </c>
    </row>
  </sheetData>
  <mergeCells count="2">
    <mergeCell ref="A2:L2"/>
    <mergeCell ref="Q1:R1"/>
  </mergeCells>
  <hyperlinks>
    <hyperlink ref="L4" r:id="rId1" xr:uid="{4151973B-E5F8-4FCC-A4DC-8A6FE90B2BF1}"/>
    <hyperlink ref="I4" r:id="rId2" xr:uid="{1B182154-A609-49A7-B565-6B322766BE9A}"/>
    <hyperlink ref="I5:I150" r:id="rId3" display="veronicananjala1@gmail.com" xr:uid="{8B943CF7-E2A6-4DCC-9CC1-61E9A4EFE0BB}"/>
    <hyperlink ref="L5:L150" r:id="rId4" display="veronicananjala1@gmail.com" xr:uid="{82F1181D-F4E0-4995-BF2E-DEE28620495B}"/>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FE28E0-3A46-4D89-8D0C-F93E89084ACE}">
  <sheetPr codeName="TransDB"/>
  <dimension ref="A1:K169"/>
  <sheetViews>
    <sheetView showGridLines="0" zoomScale="90" zoomScaleNormal="90" workbookViewId="0">
      <pane ySplit="3" topLeftCell="M171" activePane="bottomLeft" state="frozen"/>
      <selection pane="bottomLeft" activeCell="M171" sqref="M171"/>
    </sheetView>
  </sheetViews>
  <sheetFormatPr defaultRowHeight="17.25"/>
  <cols>
    <col min="2" max="2" width="10.125" customWidth="1"/>
    <col min="3" max="3" width="11" customWidth="1"/>
    <col min="5" max="5" width="29" style="36" customWidth="1"/>
    <col min="9" max="9" width="15.375" style="45" customWidth="1"/>
  </cols>
  <sheetData>
    <row r="1" spans="1:11">
      <c r="A1" s="18" t="s">
        <v>203</v>
      </c>
      <c r="B1" s="18" t="s">
        <v>204</v>
      </c>
      <c r="C1" s="18" t="s">
        <v>71</v>
      </c>
      <c r="D1" s="18" t="s">
        <v>72</v>
      </c>
      <c r="E1" s="18" t="s">
        <v>205</v>
      </c>
      <c r="F1" s="18" t="s">
        <v>206</v>
      </c>
      <c r="G1" s="18" t="s">
        <v>75</v>
      </c>
      <c r="H1" s="18" t="s">
        <v>76</v>
      </c>
      <c r="I1" s="43" t="s">
        <v>207</v>
      </c>
    </row>
    <row r="2" spans="1:11" ht="23.25" customHeight="1">
      <c r="A2" s="96" t="s">
        <v>208</v>
      </c>
      <c r="B2" s="97"/>
      <c r="C2" s="97"/>
      <c r="D2" s="97"/>
      <c r="E2" s="97"/>
      <c r="F2" s="97"/>
      <c r="G2" s="97"/>
      <c r="H2" s="97"/>
      <c r="I2" s="98"/>
    </row>
    <row r="3" spans="1:11">
      <c r="A3" s="41" t="s">
        <v>209</v>
      </c>
      <c r="B3" s="41" t="s">
        <v>210</v>
      </c>
      <c r="C3" s="41" t="s">
        <v>56</v>
      </c>
      <c r="D3" s="41" t="s">
        <v>57</v>
      </c>
      <c r="E3" s="42" t="s">
        <v>58</v>
      </c>
      <c r="F3" s="41" t="s">
        <v>211</v>
      </c>
      <c r="G3" s="41" t="s">
        <v>212</v>
      </c>
      <c r="H3" s="41" t="s">
        <v>24</v>
      </c>
      <c r="I3" s="44" t="s">
        <v>213</v>
      </c>
      <c r="K3" s="58" t="s">
        <v>214</v>
      </c>
    </row>
    <row r="4" spans="1:11">
      <c r="A4">
        <v>1</v>
      </c>
      <c r="B4" t="str" cm="1">
        <f t="array" aca="1" ref="B4:B169" ca="1">INDEX(Property_Name,_xlfn.RANDARRAY(166,1,1,COUNTA(Property_Name),TRUE))</f>
        <v>Driggs Realty</v>
      </c>
      <c r="C4" t="s">
        <v>215</v>
      </c>
      <c r="D4" t="str">
        <f ca="1">CHAR(RANDBETWEEN(65,90))</f>
        <v>K</v>
      </c>
      <c r="E4" s="36">
        <f ca="1">RANDBETWEEN(DATE(2020,1,1),DATE(2020,12,31))</f>
        <v>44012</v>
      </c>
      <c r="F4" t="s">
        <v>216</v>
      </c>
      <c r="G4" t="s">
        <v>189</v>
      </c>
      <c r="H4" t="s">
        <v>7</v>
      </c>
      <c r="I4" s="45">
        <f ca="1">RANDBETWEEN(70000,100000)</f>
        <v>95270</v>
      </c>
    </row>
    <row r="5" spans="1:11">
      <c r="A5">
        <v>2</v>
      </c>
      <c r="B5" t="str">
        <f ca="1"/>
        <v>Haven Group Real Estate</v>
      </c>
      <c r="C5" t="s">
        <v>217</v>
      </c>
      <c r="D5" t="str">
        <f t="shared" ref="D5:D68" ca="1" si="0">CHAR(RANDBETWEEN(65,90))</f>
        <v>W</v>
      </c>
      <c r="E5" s="36">
        <f t="shared" ref="E5:E68" ca="1" si="1">RANDBETWEEN(DATE(2020,1,1),DATE(2020,12,31))</f>
        <v>44127</v>
      </c>
      <c r="F5" t="s">
        <v>216</v>
      </c>
      <c r="G5" t="s">
        <v>192</v>
      </c>
      <c r="H5" t="s">
        <v>8</v>
      </c>
      <c r="I5" s="45">
        <f t="shared" ref="I5:I68" ca="1" si="2">RANDBETWEEN(70000,100000)</f>
        <v>77736</v>
      </c>
    </row>
    <row r="6" spans="1:11">
      <c r="A6">
        <v>3</v>
      </c>
      <c r="B6" t="str">
        <f ca="1"/>
        <v>Sterling Property Advisors</v>
      </c>
      <c r="C6" t="s">
        <v>218</v>
      </c>
      <c r="D6" t="str">
        <f t="shared" ca="1" si="0"/>
        <v>O</v>
      </c>
      <c r="E6" s="36">
        <f t="shared" ca="1" si="1"/>
        <v>44040</v>
      </c>
      <c r="F6" t="s">
        <v>216</v>
      </c>
      <c r="G6" t="s">
        <v>195</v>
      </c>
      <c r="H6" t="s">
        <v>7</v>
      </c>
      <c r="I6" s="45">
        <f t="shared" ca="1" si="2"/>
        <v>82323</v>
      </c>
    </row>
    <row r="7" spans="1:11">
      <c r="A7">
        <v>4</v>
      </c>
      <c r="B7" t="str">
        <f ca="1"/>
        <v>Acuta Real Estate</v>
      </c>
      <c r="C7" t="s">
        <v>219</v>
      </c>
      <c r="D7" t="str">
        <f t="shared" ca="1" si="0"/>
        <v>L</v>
      </c>
      <c r="E7" s="36">
        <f t="shared" ca="1" si="1"/>
        <v>44027</v>
      </c>
      <c r="F7" t="s">
        <v>216</v>
      </c>
      <c r="G7" t="s">
        <v>198</v>
      </c>
      <c r="H7" t="s">
        <v>8</v>
      </c>
      <c r="I7" s="45">
        <f t="shared" ca="1" si="2"/>
        <v>87457</v>
      </c>
    </row>
    <row r="8" spans="1:11">
      <c r="A8">
        <v>5</v>
      </c>
      <c r="B8" t="str">
        <f ca="1"/>
        <v>Adobe Property Advisors</v>
      </c>
      <c r="C8" t="s">
        <v>215</v>
      </c>
      <c r="D8" t="str">
        <f t="shared" ca="1" si="0"/>
        <v>B</v>
      </c>
      <c r="E8" s="36">
        <f t="shared" ca="1" si="1"/>
        <v>43896</v>
      </c>
      <c r="F8" t="s">
        <v>216</v>
      </c>
      <c r="G8" t="s">
        <v>200</v>
      </c>
      <c r="H8" t="s">
        <v>7</v>
      </c>
      <c r="I8" s="45">
        <f t="shared" ca="1" si="2"/>
        <v>79440</v>
      </c>
    </row>
    <row r="9" spans="1:11">
      <c r="A9">
        <v>6</v>
      </c>
      <c r="B9" t="str">
        <f ca="1"/>
        <v>Lark Homes</v>
      </c>
      <c r="C9" t="s">
        <v>217</v>
      </c>
      <c r="D9" t="str">
        <f t="shared" ca="1" si="0"/>
        <v>T</v>
      </c>
      <c r="E9" s="36">
        <f t="shared" ca="1" si="1"/>
        <v>43838</v>
      </c>
      <c r="F9" t="s">
        <v>216</v>
      </c>
      <c r="G9" t="s">
        <v>201</v>
      </c>
      <c r="H9" t="s">
        <v>8</v>
      </c>
      <c r="I9" s="45">
        <f t="shared" ca="1" si="2"/>
        <v>83665</v>
      </c>
    </row>
    <row r="10" spans="1:11">
      <c r="A10">
        <v>7</v>
      </c>
      <c r="B10" t="str">
        <f ca="1"/>
        <v>Devoe Partners</v>
      </c>
      <c r="C10" t="s">
        <v>218</v>
      </c>
      <c r="D10" t="str">
        <f t="shared" ca="1" si="0"/>
        <v>G</v>
      </c>
      <c r="E10" s="36">
        <f t="shared" ca="1" si="1"/>
        <v>43890</v>
      </c>
      <c r="F10" t="s">
        <v>216</v>
      </c>
      <c r="G10" t="s">
        <v>189</v>
      </c>
      <c r="H10" t="s">
        <v>7</v>
      </c>
      <c r="I10" s="45">
        <f t="shared" ca="1" si="2"/>
        <v>76359</v>
      </c>
    </row>
    <row r="11" spans="1:11">
      <c r="A11">
        <v>8</v>
      </c>
      <c r="B11" t="str">
        <f ca="1"/>
        <v>Full Circle Real Estate</v>
      </c>
      <c r="C11" t="s">
        <v>219</v>
      </c>
      <c r="D11" t="str">
        <f t="shared" ca="1" si="0"/>
        <v>J</v>
      </c>
      <c r="E11" s="36">
        <f t="shared" ca="1" si="1"/>
        <v>43959</v>
      </c>
      <c r="F11" t="s">
        <v>216</v>
      </c>
      <c r="G11" t="s">
        <v>192</v>
      </c>
      <c r="H11" t="s">
        <v>8</v>
      </c>
      <c r="I11" s="45">
        <f t="shared" ca="1" si="2"/>
        <v>85154</v>
      </c>
    </row>
    <row r="12" spans="1:11">
      <c r="A12">
        <v>9</v>
      </c>
      <c r="B12" t="str">
        <f ca="1"/>
        <v>Privet Group Real Property</v>
      </c>
      <c r="C12" t="s">
        <v>215</v>
      </c>
      <c r="D12" t="str">
        <f t="shared" ca="1" si="0"/>
        <v>V</v>
      </c>
      <c r="E12" s="36">
        <f t="shared" ca="1" si="1"/>
        <v>44073</v>
      </c>
      <c r="F12" t="s">
        <v>216</v>
      </c>
      <c r="G12" t="s">
        <v>195</v>
      </c>
      <c r="H12" t="s">
        <v>7</v>
      </c>
      <c r="I12" s="45">
        <f t="shared" ca="1" si="2"/>
        <v>94214</v>
      </c>
    </row>
    <row r="13" spans="1:11">
      <c r="A13">
        <v>10</v>
      </c>
      <c r="B13" t="str">
        <f ca="1"/>
        <v>Red Coral Realty</v>
      </c>
      <c r="C13" t="s">
        <v>217</v>
      </c>
      <c r="D13" t="str">
        <f t="shared" ca="1" si="0"/>
        <v>R</v>
      </c>
      <c r="E13" s="36">
        <f t="shared" ca="1" si="1"/>
        <v>44008</v>
      </c>
      <c r="F13" t="s">
        <v>216</v>
      </c>
      <c r="G13" t="s">
        <v>198</v>
      </c>
      <c r="H13" t="s">
        <v>8</v>
      </c>
      <c r="I13" s="45">
        <f t="shared" ca="1" si="2"/>
        <v>70159</v>
      </c>
    </row>
    <row r="14" spans="1:11">
      <c r="A14">
        <v>11</v>
      </c>
      <c r="B14" t="str">
        <f ca="1"/>
        <v>Privet Group Real Property</v>
      </c>
      <c r="C14" t="s">
        <v>218</v>
      </c>
      <c r="D14" t="str">
        <f t="shared" ca="1" si="0"/>
        <v>Q</v>
      </c>
      <c r="E14" s="36">
        <f t="shared" ca="1" si="1"/>
        <v>43948</v>
      </c>
      <c r="F14" t="s">
        <v>216</v>
      </c>
      <c r="G14" t="s">
        <v>200</v>
      </c>
      <c r="H14" t="s">
        <v>7</v>
      </c>
      <c r="I14" s="45">
        <f t="shared" ca="1" si="2"/>
        <v>93118</v>
      </c>
    </row>
    <row r="15" spans="1:11">
      <c r="A15">
        <v>12</v>
      </c>
      <c r="B15" t="str">
        <f ca="1"/>
        <v>Equinox Realty Advisors</v>
      </c>
      <c r="C15" t="s">
        <v>219</v>
      </c>
      <c r="D15" t="str">
        <f t="shared" ca="1" si="0"/>
        <v>N</v>
      </c>
      <c r="E15" s="36">
        <f t="shared" ca="1" si="1"/>
        <v>43919</v>
      </c>
      <c r="F15" t="s">
        <v>216</v>
      </c>
      <c r="G15" t="s">
        <v>201</v>
      </c>
      <c r="H15" t="s">
        <v>8</v>
      </c>
      <c r="I15" s="45">
        <f t="shared" ca="1" si="2"/>
        <v>99338</v>
      </c>
    </row>
    <row r="16" spans="1:11">
      <c r="A16">
        <v>13</v>
      </c>
      <c r="B16" t="str">
        <f ca="1"/>
        <v>Landmark Realty Group</v>
      </c>
      <c r="C16" t="s">
        <v>215</v>
      </c>
      <c r="D16" t="str">
        <f t="shared" ca="1" si="0"/>
        <v>T</v>
      </c>
      <c r="E16" s="36">
        <f t="shared" ca="1" si="1"/>
        <v>44087</v>
      </c>
      <c r="F16" t="s">
        <v>216</v>
      </c>
      <c r="G16" t="s">
        <v>189</v>
      </c>
      <c r="H16" t="s">
        <v>7</v>
      </c>
      <c r="I16" s="45">
        <f t="shared" ca="1" si="2"/>
        <v>73260</v>
      </c>
    </row>
    <row r="17" spans="1:9">
      <c r="A17">
        <v>14</v>
      </c>
      <c r="B17" t="str">
        <f ca="1"/>
        <v>Nova Group Real Estate</v>
      </c>
      <c r="C17" t="s">
        <v>217</v>
      </c>
      <c r="D17" t="str">
        <f t="shared" ca="1" si="0"/>
        <v>V</v>
      </c>
      <c r="E17" s="36">
        <f t="shared" ca="1" si="1"/>
        <v>44150</v>
      </c>
      <c r="F17" t="s">
        <v>216</v>
      </c>
      <c r="G17" t="s">
        <v>192</v>
      </c>
      <c r="H17" t="s">
        <v>8</v>
      </c>
      <c r="I17" s="45">
        <f t="shared" ca="1" si="2"/>
        <v>77258</v>
      </c>
    </row>
    <row r="18" spans="1:9">
      <c r="A18">
        <v>15</v>
      </c>
      <c r="B18" t="str">
        <f ca="1"/>
        <v>Pagoda Partners Realty</v>
      </c>
      <c r="C18" t="s">
        <v>218</v>
      </c>
      <c r="D18" t="str">
        <f t="shared" ca="1" si="0"/>
        <v>V</v>
      </c>
      <c r="E18" s="36">
        <f t="shared" ca="1" si="1"/>
        <v>44002</v>
      </c>
      <c r="F18" t="s">
        <v>216</v>
      </c>
      <c r="G18" t="s">
        <v>195</v>
      </c>
      <c r="H18" t="s">
        <v>7</v>
      </c>
      <c r="I18" s="45">
        <f t="shared" ca="1" si="2"/>
        <v>98830</v>
      </c>
    </row>
    <row r="19" spans="1:9">
      <c r="A19">
        <v>16</v>
      </c>
      <c r="B19" t="str">
        <f ca="1"/>
        <v>Olive Tree Realty</v>
      </c>
      <c r="C19" t="s">
        <v>219</v>
      </c>
      <c r="D19" t="str">
        <f t="shared" ca="1" si="0"/>
        <v>G</v>
      </c>
      <c r="E19" s="36">
        <f t="shared" ca="1" si="1"/>
        <v>43941</v>
      </c>
      <c r="F19" t="s">
        <v>216</v>
      </c>
      <c r="G19" t="s">
        <v>198</v>
      </c>
      <c r="H19" t="s">
        <v>8</v>
      </c>
      <c r="I19" s="45">
        <f t="shared" ca="1" si="2"/>
        <v>85345</v>
      </c>
    </row>
    <row r="20" spans="1:9">
      <c r="A20">
        <v>17</v>
      </c>
      <c r="B20" t="str">
        <f ca="1"/>
        <v>Barrow Street Realty</v>
      </c>
      <c r="C20" t="s">
        <v>215</v>
      </c>
      <c r="D20" t="str">
        <f t="shared" ca="1" si="0"/>
        <v>G</v>
      </c>
      <c r="E20" s="36">
        <f t="shared" ca="1" si="1"/>
        <v>43937</v>
      </c>
      <c r="F20" t="s">
        <v>216</v>
      </c>
      <c r="G20" t="s">
        <v>200</v>
      </c>
      <c r="H20" t="s">
        <v>7</v>
      </c>
      <c r="I20" s="45">
        <f t="shared" ca="1" si="2"/>
        <v>97936</v>
      </c>
    </row>
    <row r="21" spans="1:9">
      <c r="A21">
        <v>18</v>
      </c>
      <c r="B21" t="str">
        <f ca="1"/>
        <v>Corsair Real Estate</v>
      </c>
      <c r="C21" t="s">
        <v>217</v>
      </c>
      <c r="D21" t="str">
        <f t="shared" ca="1" si="0"/>
        <v>G</v>
      </c>
      <c r="E21" s="36">
        <f t="shared" ca="1" si="1"/>
        <v>44036</v>
      </c>
      <c r="F21" t="s">
        <v>216</v>
      </c>
      <c r="G21" t="s">
        <v>201</v>
      </c>
      <c r="H21" t="s">
        <v>8</v>
      </c>
      <c r="I21" s="45">
        <f t="shared" ca="1" si="2"/>
        <v>83495</v>
      </c>
    </row>
    <row r="22" spans="1:9">
      <c r="A22">
        <v>19</v>
      </c>
      <c r="B22" t="str">
        <f ca="1"/>
        <v>Bold Realty</v>
      </c>
      <c r="C22" t="s">
        <v>218</v>
      </c>
      <c r="D22" t="str">
        <f t="shared" ca="1" si="0"/>
        <v>O</v>
      </c>
      <c r="E22" s="36">
        <f t="shared" ca="1" si="1"/>
        <v>44068</v>
      </c>
      <c r="F22" t="s">
        <v>216</v>
      </c>
      <c r="G22" t="s">
        <v>189</v>
      </c>
      <c r="H22" t="s">
        <v>7</v>
      </c>
      <c r="I22" s="45">
        <f t="shared" ca="1" si="2"/>
        <v>76844</v>
      </c>
    </row>
    <row r="23" spans="1:9">
      <c r="A23">
        <v>20</v>
      </c>
      <c r="B23" t="str">
        <f ca="1"/>
        <v>Bond &amp; Main Real Estate Group</v>
      </c>
      <c r="C23" t="s">
        <v>219</v>
      </c>
      <c r="D23" t="str">
        <f t="shared" ca="1" si="0"/>
        <v>Z</v>
      </c>
      <c r="E23" s="36">
        <f t="shared" ca="1" si="1"/>
        <v>44016</v>
      </c>
      <c r="F23" t="s">
        <v>216</v>
      </c>
      <c r="G23" t="s">
        <v>192</v>
      </c>
      <c r="H23" t="s">
        <v>8</v>
      </c>
      <c r="I23" s="45">
        <f t="shared" ca="1" si="2"/>
        <v>83519</v>
      </c>
    </row>
    <row r="24" spans="1:9">
      <c r="A24">
        <v>21</v>
      </c>
      <c r="B24" t="str">
        <f ca="1"/>
        <v>Blue Reef Properties</v>
      </c>
      <c r="C24" t="s">
        <v>215</v>
      </c>
      <c r="D24" t="str">
        <f t="shared" ca="1" si="0"/>
        <v>J</v>
      </c>
      <c r="E24" s="36">
        <f t="shared" ca="1" si="1"/>
        <v>44092</v>
      </c>
      <c r="F24" t="s">
        <v>216</v>
      </c>
      <c r="G24" t="s">
        <v>195</v>
      </c>
      <c r="H24" t="s">
        <v>7</v>
      </c>
      <c r="I24" s="45">
        <f t="shared" ca="1" si="2"/>
        <v>89348</v>
      </c>
    </row>
    <row r="25" spans="1:9">
      <c r="A25">
        <v>22</v>
      </c>
      <c r="B25" t="str">
        <f ca="1"/>
        <v>Agile Real Estate Group</v>
      </c>
      <c r="C25" t="s">
        <v>217</v>
      </c>
      <c r="D25" t="str">
        <f t="shared" ca="1" si="0"/>
        <v>R</v>
      </c>
      <c r="E25" s="36">
        <f t="shared" ca="1" si="1"/>
        <v>44022</v>
      </c>
      <c r="F25" t="s">
        <v>216</v>
      </c>
      <c r="G25" t="s">
        <v>198</v>
      </c>
      <c r="H25" t="s">
        <v>8</v>
      </c>
      <c r="I25" s="45">
        <f t="shared" ca="1" si="2"/>
        <v>70321</v>
      </c>
    </row>
    <row r="26" spans="1:9">
      <c r="A26">
        <v>23</v>
      </c>
      <c r="B26" t="str">
        <f ca="1"/>
        <v>Cottonwood Real Estate</v>
      </c>
      <c r="C26" t="s">
        <v>218</v>
      </c>
      <c r="D26" t="str">
        <f t="shared" ca="1" si="0"/>
        <v>R</v>
      </c>
      <c r="E26" s="36">
        <f t="shared" ca="1" si="1"/>
        <v>43874</v>
      </c>
      <c r="F26" t="s">
        <v>216</v>
      </c>
      <c r="G26" t="s">
        <v>200</v>
      </c>
      <c r="H26" t="s">
        <v>7</v>
      </c>
      <c r="I26" s="45">
        <f t="shared" ca="1" si="2"/>
        <v>99973</v>
      </c>
    </row>
    <row r="27" spans="1:9">
      <c r="A27">
        <v>24</v>
      </c>
      <c r="B27" t="str">
        <f ca="1"/>
        <v>Shipwright Realty</v>
      </c>
      <c r="C27" t="s">
        <v>219</v>
      </c>
      <c r="D27" t="str">
        <f t="shared" ca="1" si="0"/>
        <v>H</v>
      </c>
      <c r="E27" s="36">
        <f t="shared" ca="1" si="1"/>
        <v>43985</v>
      </c>
      <c r="F27" t="s">
        <v>216</v>
      </c>
      <c r="G27" t="s">
        <v>201</v>
      </c>
      <c r="H27" t="s">
        <v>8</v>
      </c>
      <c r="I27" s="45">
        <f t="shared" ca="1" si="2"/>
        <v>85050</v>
      </c>
    </row>
    <row r="28" spans="1:9">
      <c r="A28">
        <v>25</v>
      </c>
      <c r="B28" t="str">
        <f ca="1"/>
        <v>Olive Tree Realty</v>
      </c>
      <c r="C28" t="s">
        <v>215</v>
      </c>
      <c r="D28" t="str">
        <f t="shared" ca="1" si="0"/>
        <v>R</v>
      </c>
      <c r="E28" s="36">
        <f t="shared" ca="1" si="1"/>
        <v>43876</v>
      </c>
      <c r="F28" t="s">
        <v>216</v>
      </c>
      <c r="G28" t="s">
        <v>189</v>
      </c>
      <c r="H28" t="s">
        <v>7</v>
      </c>
      <c r="I28" s="45">
        <f t="shared" ca="1" si="2"/>
        <v>87054</v>
      </c>
    </row>
    <row r="29" spans="1:9">
      <c r="A29">
        <v>26</v>
      </c>
      <c r="B29" t="str">
        <f ca="1"/>
        <v>Excelsior Real Estate</v>
      </c>
      <c r="C29" t="s">
        <v>217</v>
      </c>
      <c r="D29" t="str">
        <f t="shared" ca="1" si="0"/>
        <v>B</v>
      </c>
      <c r="E29" s="36">
        <f t="shared" ca="1" si="1"/>
        <v>44095</v>
      </c>
      <c r="F29" t="s">
        <v>216</v>
      </c>
      <c r="G29" t="s">
        <v>192</v>
      </c>
      <c r="H29" t="s">
        <v>8</v>
      </c>
      <c r="I29" s="45">
        <f t="shared" ca="1" si="2"/>
        <v>85997</v>
      </c>
    </row>
    <row r="30" spans="1:9">
      <c r="A30">
        <v>27</v>
      </c>
      <c r="B30" t="str">
        <f ca="1"/>
        <v>Haven Group Real Estate</v>
      </c>
      <c r="C30" t="s">
        <v>218</v>
      </c>
      <c r="D30" t="str">
        <f t="shared" ca="1" si="0"/>
        <v>J</v>
      </c>
      <c r="E30" s="36">
        <f t="shared" ca="1" si="1"/>
        <v>43964</v>
      </c>
      <c r="F30" t="s">
        <v>216</v>
      </c>
      <c r="G30" t="s">
        <v>195</v>
      </c>
      <c r="H30" t="s">
        <v>7</v>
      </c>
      <c r="I30" s="45">
        <f t="shared" ca="1" si="2"/>
        <v>84376</v>
      </c>
    </row>
    <row r="31" spans="1:9">
      <c r="A31">
        <v>28</v>
      </c>
      <c r="B31" t="str">
        <f ca="1"/>
        <v>Herringbone Realty</v>
      </c>
      <c r="C31" t="s">
        <v>219</v>
      </c>
      <c r="D31" t="str">
        <f t="shared" ca="1" si="0"/>
        <v>U</v>
      </c>
      <c r="E31" s="36">
        <f t="shared" ca="1" si="1"/>
        <v>43957</v>
      </c>
      <c r="F31" t="s">
        <v>216</v>
      </c>
      <c r="G31" t="s">
        <v>198</v>
      </c>
      <c r="H31" t="s">
        <v>8</v>
      </c>
      <c r="I31" s="45">
        <f t="shared" ca="1" si="2"/>
        <v>95884</v>
      </c>
    </row>
    <row r="32" spans="1:9">
      <c r="A32">
        <v>29</v>
      </c>
      <c r="B32" t="str">
        <f ca="1"/>
        <v>Stellar Property Advisors</v>
      </c>
      <c r="C32" t="s">
        <v>215</v>
      </c>
      <c r="D32" t="str">
        <f t="shared" ca="1" si="0"/>
        <v>D</v>
      </c>
      <c r="E32" s="36">
        <f t="shared" ca="1" si="1"/>
        <v>43860</v>
      </c>
      <c r="F32" t="s">
        <v>216</v>
      </c>
      <c r="G32" t="s">
        <v>200</v>
      </c>
      <c r="H32" t="s">
        <v>7</v>
      </c>
      <c r="I32" s="45">
        <f t="shared" ca="1" si="2"/>
        <v>87248</v>
      </c>
    </row>
    <row r="33" spans="1:9">
      <c r="A33">
        <v>30</v>
      </c>
      <c r="B33" t="str">
        <f ca="1"/>
        <v>Adobe Property Advisors</v>
      </c>
      <c r="C33" t="s">
        <v>217</v>
      </c>
      <c r="D33" t="str">
        <f t="shared" ca="1" si="0"/>
        <v>F</v>
      </c>
      <c r="E33" s="36">
        <f t="shared" ca="1" si="1"/>
        <v>44195</v>
      </c>
      <c r="F33" t="s">
        <v>216</v>
      </c>
      <c r="G33" t="s">
        <v>201</v>
      </c>
      <c r="H33" t="s">
        <v>8</v>
      </c>
      <c r="I33" s="45">
        <f t="shared" ca="1" si="2"/>
        <v>73086</v>
      </c>
    </row>
    <row r="34" spans="1:9">
      <c r="A34">
        <v>31</v>
      </c>
      <c r="B34" t="str">
        <f ca="1"/>
        <v>Red Coral Realty</v>
      </c>
      <c r="C34" t="s">
        <v>218</v>
      </c>
      <c r="D34" t="str">
        <f t="shared" ca="1" si="0"/>
        <v>T</v>
      </c>
      <c r="E34" s="36">
        <f t="shared" ca="1" si="1"/>
        <v>44082</v>
      </c>
      <c r="F34" t="s">
        <v>216</v>
      </c>
      <c r="G34" t="s">
        <v>189</v>
      </c>
      <c r="H34" t="s">
        <v>7</v>
      </c>
      <c r="I34" s="45">
        <f t="shared" ca="1" si="2"/>
        <v>89321</v>
      </c>
    </row>
    <row r="35" spans="1:9">
      <c r="A35">
        <v>32</v>
      </c>
      <c r="B35" t="str">
        <f ca="1"/>
        <v>Bluebell Real Estate</v>
      </c>
      <c r="C35" t="s">
        <v>219</v>
      </c>
      <c r="D35" t="str">
        <f t="shared" ca="1" si="0"/>
        <v>E</v>
      </c>
      <c r="E35" s="36">
        <f t="shared" ca="1" si="1"/>
        <v>43832</v>
      </c>
      <c r="F35" t="s">
        <v>216</v>
      </c>
      <c r="G35" t="s">
        <v>192</v>
      </c>
      <c r="H35" t="s">
        <v>8</v>
      </c>
      <c r="I35" s="45">
        <f t="shared" ca="1" si="2"/>
        <v>91176</v>
      </c>
    </row>
    <row r="36" spans="1:9">
      <c r="A36">
        <v>33</v>
      </c>
      <c r="B36" t="str">
        <f ca="1"/>
        <v>Home &amp; Hearth Realty</v>
      </c>
      <c r="C36" t="s">
        <v>215</v>
      </c>
      <c r="D36" t="str">
        <f t="shared" ca="1" si="0"/>
        <v>N</v>
      </c>
      <c r="E36" s="36">
        <f t="shared" ca="1" si="1"/>
        <v>44170</v>
      </c>
      <c r="F36" t="s">
        <v>216</v>
      </c>
      <c r="G36" t="s">
        <v>195</v>
      </c>
      <c r="H36" t="s">
        <v>7</v>
      </c>
      <c r="I36" s="45">
        <f t="shared" ca="1" si="2"/>
        <v>81803</v>
      </c>
    </row>
    <row r="37" spans="1:9">
      <c r="A37">
        <v>34</v>
      </c>
      <c r="B37" t="str">
        <f ca="1"/>
        <v>Golden Meadows Property Group</v>
      </c>
      <c r="C37" t="s">
        <v>217</v>
      </c>
      <c r="D37" t="str">
        <f t="shared" ca="1" si="0"/>
        <v>M</v>
      </c>
      <c r="E37" s="36">
        <f t="shared" ca="1" si="1"/>
        <v>43931</v>
      </c>
      <c r="F37" t="s">
        <v>216</v>
      </c>
      <c r="G37" t="s">
        <v>198</v>
      </c>
      <c r="H37" t="s">
        <v>8</v>
      </c>
      <c r="I37" s="45">
        <f t="shared" ca="1" si="2"/>
        <v>79740</v>
      </c>
    </row>
    <row r="38" spans="1:9">
      <c r="A38">
        <v>35</v>
      </c>
      <c r="B38" t="str">
        <f ca="1"/>
        <v>Agile Real Estate Group</v>
      </c>
      <c r="C38" t="s">
        <v>218</v>
      </c>
      <c r="D38" t="str">
        <f t="shared" ca="1" si="0"/>
        <v>X</v>
      </c>
      <c r="E38" s="36">
        <f t="shared" ca="1" si="1"/>
        <v>44026</v>
      </c>
      <c r="F38" t="s">
        <v>216</v>
      </c>
      <c r="G38" t="s">
        <v>200</v>
      </c>
      <c r="H38" t="s">
        <v>7</v>
      </c>
      <c r="I38" s="45">
        <f t="shared" ca="1" si="2"/>
        <v>72810</v>
      </c>
    </row>
    <row r="39" spans="1:9">
      <c r="A39">
        <v>36</v>
      </c>
      <c r="B39" t="str">
        <f ca="1"/>
        <v>Granite Real Estate</v>
      </c>
      <c r="C39" t="s">
        <v>219</v>
      </c>
      <c r="D39" t="str">
        <f t="shared" ca="1" si="0"/>
        <v>A</v>
      </c>
      <c r="E39" s="36">
        <f t="shared" ca="1" si="1"/>
        <v>44112</v>
      </c>
      <c r="F39" t="s">
        <v>216</v>
      </c>
      <c r="G39" t="s">
        <v>201</v>
      </c>
      <c r="H39" t="s">
        <v>8</v>
      </c>
      <c r="I39" s="45">
        <f t="shared" ca="1" si="2"/>
        <v>75951</v>
      </c>
    </row>
    <row r="40" spans="1:9">
      <c r="A40">
        <v>37</v>
      </c>
      <c r="B40" t="str">
        <f ca="1"/>
        <v>Herringbone Realty</v>
      </c>
      <c r="C40" t="s">
        <v>215</v>
      </c>
      <c r="D40" t="str">
        <f t="shared" ca="1" si="0"/>
        <v>C</v>
      </c>
      <c r="E40" s="36">
        <f t="shared" ca="1" si="1"/>
        <v>44177</v>
      </c>
      <c r="F40" t="s">
        <v>216</v>
      </c>
      <c r="G40" t="s">
        <v>189</v>
      </c>
      <c r="H40" t="s">
        <v>7</v>
      </c>
      <c r="I40" s="45">
        <f t="shared" ca="1" si="2"/>
        <v>88458</v>
      </c>
    </row>
    <row r="41" spans="1:9">
      <c r="A41">
        <v>38</v>
      </c>
      <c r="B41" t="str">
        <f ca="1"/>
        <v>Platinum Property Advisors</v>
      </c>
      <c r="C41" t="s">
        <v>217</v>
      </c>
      <c r="D41" t="str">
        <f t="shared" ca="1" si="0"/>
        <v>H</v>
      </c>
      <c r="E41" s="36">
        <f t="shared" ca="1" si="1"/>
        <v>44081</v>
      </c>
      <c r="F41" t="s">
        <v>216</v>
      </c>
      <c r="G41" t="s">
        <v>192</v>
      </c>
      <c r="H41" t="s">
        <v>8</v>
      </c>
      <c r="I41" s="45">
        <f t="shared" ca="1" si="2"/>
        <v>95564</v>
      </c>
    </row>
    <row r="42" spans="1:9">
      <c r="A42">
        <v>39</v>
      </c>
      <c r="B42" t="str">
        <f ca="1"/>
        <v>Equinox Partners Real Property</v>
      </c>
      <c r="C42" t="s">
        <v>218</v>
      </c>
      <c r="D42" t="str">
        <f t="shared" ca="1" si="0"/>
        <v>B</v>
      </c>
      <c r="E42" s="36">
        <f t="shared" ca="1" si="1"/>
        <v>43904</v>
      </c>
      <c r="F42" t="s">
        <v>216</v>
      </c>
      <c r="G42" t="s">
        <v>195</v>
      </c>
      <c r="H42" t="s">
        <v>7</v>
      </c>
      <c r="I42" s="45">
        <f t="shared" ca="1" si="2"/>
        <v>91877</v>
      </c>
    </row>
    <row r="43" spans="1:9">
      <c r="A43">
        <v>40</v>
      </c>
      <c r="B43" t="str">
        <f ca="1"/>
        <v>Blue Reef Properties</v>
      </c>
      <c r="C43" t="s">
        <v>219</v>
      </c>
      <c r="D43" t="str">
        <f t="shared" ca="1" si="0"/>
        <v>M</v>
      </c>
      <c r="E43" s="36">
        <f t="shared" ca="1" si="1"/>
        <v>43878</v>
      </c>
      <c r="F43" t="s">
        <v>216</v>
      </c>
      <c r="G43" t="s">
        <v>198</v>
      </c>
      <c r="H43" t="s">
        <v>8</v>
      </c>
      <c r="I43" s="45">
        <f t="shared" ca="1" si="2"/>
        <v>82958</v>
      </c>
    </row>
    <row r="44" spans="1:9">
      <c r="A44">
        <v>41</v>
      </c>
      <c r="B44" t="str">
        <f ca="1"/>
        <v>Apogee Property Advisors</v>
      </c>
      <c r="C44" t="s">
        <v>215</v>
      </c>
      <c r="D44" t="str">
        <f t="shared" ca="1" si="0"/>
        <v>K</v>
      </c>
      <c r="E44" s="36">
        <f t="shared" ca="1" si="1"/>
        <v>44008</v>
      </c>
      <c r="F44" t="s">
        <v>216</v>
      </c>
      <c r="G44" t="s">
        <v>200</v>
      </c>
      <c r="H44" t="s">
        <v>7</v>
      </c>
      <c r="I44" s="45">
        <f t="shared" ca="1" si="2"/>
        <v>97214</v>
      </c>
    </row>
    <row r="45" spans="1:9">
      <c r="A45">
        <v>42</v>
      </c>
      <c r="B45" t="str">
        <f ca="1"/>
        <v>Axis Group Real Estate</v>
      </c>
      <c r="C45" t="s">
        <v>217</v>
      </c>
      <c r="D45" t="str">
        <f t="shared" ca="1" si="0"/>
        <v>P</v>
      </c>
      <c r="E45" s="36">
        <f t="shared" ca="1" si="1"/>
        <v>43845</v>
      </c>
      <c r="F45" t="s">
        <v>216</v>
      </c>
      <c r="G45" t="s">
        <v>201</v>
      </c>
      <c r="H45" t="s">
        <v>8</v>
      </c>
      <c r="I45" s="45">
        <f t="shared" ca="1" si="2"/>
        <v>99778</v>
      </c>
    </row>
    <row r="46" spans="1:9">
      <c r="A46">
        <v>43</v>
      </c>
      <c r="B46" t="str">
        <f ca="1"/>
        <v>Broadleaf Homes</v>
      </c>
      <c r="C46" t="s">
        <v>218</v>
      </c>
      <c r="D46" t="str">
        <f t="shared" ca="1" si="0"/>
        <v>C</v>
      </c>
      <c r="E46" s="36">
        <f t="shared" ca="1" si="1"/>
        <v>43900</v>
      </c>
      <c r="F46" t="s">
        <v>216</v>
      </c>
      <c r="G46" t="s">
        <v>189</v>
      </c>
      <c r="H46" t="s">
        <v>7</v>
      </c>
      <c r="I46" s="45">
        <f t="shared" ca="1" si="2"/>
        <v>82931</v>
      </c>
    </row>
    <row r="47" spans="1:9">
      <c r="A47">
        <v>44</v>
      </c>
      <c r="B47" t="str">
        <f ca="1"/>
        <v>Anchor Group Real Estate</v>
      </c>
      <c r="C47" t="s">
        <v>219</v>
      </c>
      <c r="D47" t="str">
        <f t="shared" ca="1" si="0"/>
        <v>Z</v>
      </c>
      <c r="E47" s="36">
        <f t="shared" ca="1" si="1"/>
        <v>44060</v>
      </c>
      <c r="F47" t="s">
        <v>216</v>
      </c>
      <c r="G47" t="s">
        <v>192</v>
      </c>
      <c r="H47" t="s">
        <v>8</v>
      </c>
      <c r="I47" s="45">
        <f t="shared" ca="1" si="2"/>
        <v>99935</v>
      </c>
    </row>
    <row r="48" spans="1:9">
      <c r="A48">
        <v>45</v>
      </c>
      <c r="B48" t="str">
        <f ca="1"/>
        <v>Agile Real Estate Group</v>
      </c>
      <c r="C48" t="s">
        <v>215</v>
      </c>
      <c r="D48" t="str">
        <f t="shared" ca="1" si="0"/>
        <v>W</v>
      </c>
      <c r="E48" s="36">
        <f t="shared" ca="1" si="1"/>
        <v>44098</v>
      </c>
      <c r="F48" t="s">
        <v>216</v>
      </c>
      <c r="G48" t="s">
        <v>195</v>
      </c>
      <c r="H48" t="s">
        <v>7</v>
      </c>
      <c r="I48" s="45">
        <f t="shared" ca="1" si="2"/>
        <v>94627</v>
      </c>
    </row>
    <row r="49" spans="1:9">
      <c r="A49">
        <v>46</v>
      </c>
      <c r="B49" t="str">
        <f ca="1"/>
        <v>Brick Lane Realty</v>
      </c>
      <c r="C49" t="s">
        <v>217</v>
      </c>
      <c r="D49" t="str">
        <f t="shared" ca="1" si="0"/>
        <v>K</v>
      </c>
      <c r="E49" s="36">
        <f t="shared" ca="1" si="1"/>
        <v>43879</v>
      </c>
      <c r="F49" t="s">
        <v>216</v>
      </c>
      <c r="G49" t="s">
        <v>198</v>
      </c>
      <c r="H49" t="s">
        <v>8</v>
      </c>
      <c r="I49" s="45">
        <f t="shared" ca="1" si="2"/>
        <v>74358</v>
      </c>
    </row>
    <row r="50" spans="1:9">
      <c r="A50">
        <v>47</v>
      </c>
      <c r="B50" t="str">
        <f ca="1"/>
        <v>Bond &amp; Main Real Estate Group</v>
      </c>
      <c r="C50" t="s">
        <v>218</v>
      </c>
      <c r="D50" t="str">
        <f t="shared" ca="1" si="0"/>
        <v>G</v>
      </c>
      <c r="E50" s="36">
        <f t="shared" ca="1" si="1"/>
        <v>43845</v>
      </c>
      <c r="F50" t="s">
        <v>216</v>
      </c>
      <c r="G50" t="s">
        <v>200</v>
      </c>
      <c r="H50" t="s">
        <v>7</v>
      </c>
      <c r="I50" s="45">
        <f t="shared" ca="1" si="2"/>
        <v>70169</v>
      </c>
    </row>
    <row r="51" spans="1:9">
      <c r="A51">
        <v>48</v>
      </c>
      <c r="B51" t="str">
        <f ca="1"/>
        <v>Beacon Homes LLC</v>
      </c>
      <c r="C51" t="s">
        <v>219</v>
      </c>
      <c r="D51" t="str">
        <f t="shared" ca="1" si="0"/>
        <v>Q</v>
      </c>
      <c r="E51" s="36">
        <f t="shared" ca="1" si="1"/>
        <v>44036</v>
      </c>
      <c r="F51" t="s">
        <v>216</v>
      </c>
      <c r="G51" t="s">
        <v>201</v>
      </c>
      <c r="H51" t="s">
        <v>8</v>
      </c>
      <c r="I51" s="45">
        <f t="shared" ca="1" si="2"/>
        <v>76176</v>
      </c>
    </row>
    <row r="52" spans="1:9">
      <c r="A52">
        <v>49</v>
      </c>
      <c r="B52" t="str">
        <f ca="1"/>
        <v>Sovereign Realty</v>
      </c>
      <c r="C52" t="s">
        <v>215</v>
      </c>
      <c r="D52" t="str">
        <f t="shared" ca="1" si="0"/>
        <v>M</v>
      </c>
      <c r="E52" s="36">
        <f t="shared" ca="1" si="1"/>
        <v>43996</v>
      </c>
      <c r="F52" t="s">
        <v>216</v>
      </c>
      <c r="G52" t="s">
        <v>189</v>
      </c>
      <c r="H52" t="s">
        <v>7</v>
      </c>
      <c r="I52" s="45">
        <f t="shared" ca="1" si="2"/>
        <v>70314</v>
      </c>
    </row>
    <row r="53" spans="1:9">
      <c r="A53">
        <v>50</v>
      </c>
      <c r="B53" t="str">
        <f ca="1"/>
        <v>Broadleaf Homes</v>
      </c>
      <c r="C53" t="s">
        <v>217</v>
      </c>
      <c r="D53" t="str">
        <f t="shared" ca="1" si="0"/>
        <v>K</v>
      </c>
      <c r="E53" s="36">
        <f t="shared" ca="1" si="1"/>
        <v>44083</v>
      </c>
      <c r="F53" t="s">
        <v>216</v>
      </c>
      <c r="G53" t="s">
        <v>192</v>
      </c>
      <c r="H53" t="s">
        <v>8</v>
      </c>
      <c r="I53" s="45">
        <f t="shared" ca="1" si="2"/>
        <v>91210</v>
      </c>
    </row>
    <row r="54" spans="1:9">
      <c r="A54">
        <v>51</v>
      </c>
      <c r="B54" t="str">
        <f ca="1"/>
        <v>Keystone Group Real Estate</v>
      </c>
      <c r="C54" t="s">
        <v>218</v>
      </c>
      <c r="D54" t="str">
        <f t="shared" ca="1" si="0"/>
        <v>Q</v>
      </c>
      <c r="E54" s="36">
        <f t="shared" ca="1" si="1"/>
        <v>43905</v>
      </c>
      <c r="F54" t="s">
        <v>216</v>
      </c>
      <c r="G54" t="s">
        <v>195</v>
      </c>
      <c r="H54" t="s">
        <v>7</v>
      </c>
      <c r="I54" s="45">
        <f t="shared" ca="1" si="2"/>
        <v>90832</v>
      </c>
    </row>
    <row r="55" spans="1:9">
      <c r="A55">
        <v>52</v>
      </c>
      <c r="B55" t="str">
        <f ca="1"/>
        <v>Stellar Property Advisors</v>
      </c>
      <c r="C55" t="s">
        <v>219</v>
      </c>
      <c r="D55" t="str">
        <f t="shared" ca="1" si="0"/>
        <v>L</v>
      </c>
      <c r="E55" s="36">
        <f t="shared" ca="1" si="1"/>
        <v>43959</v>
      </c>
      <c r="F55" t="s">
        <v>216</v>
      </c>
      <c r="G55" t="s">
        <v>198</v>
      </c>
      <c r="H55" t="s">
        <v>8</v>
      </c>
      <c r="I55" s="45">
        <f t="shared" ca="1" si="2"/>
        <v>76601</v>
      </c>
    </row>
    <row r="56" spans="1:9">
      <c r="A56">
        <v>53</v>
      </c>
      <c r="B56" t="str">
        <f ca="1"/>
        <v>Broadleaf Homes</v>
      </c>
      <c r="C56" t="s">
        <v>215</v>
      </c>
      <c r="D56" t="str">
        <f t="shared" ca="1" si="0"/>
        <v>X</v>
      </c>
      <c r="E56" s="36">
        <f t="shared" ca="1" si="1"/>
        <v>44173</v>
      </c>
      <c r="F56" t="s">
        <v>216</v>
      </c>
      <c r="G56" t="s">
        <v>200</v>
      </c>
      <c r="H56" t="s">
        <v>7</v>
      </c>
      <c r="I56" s="45">
        <f t="shared" ca="1" si="2"/>
        <v>87718</v>
      </c>
    </row>
    <row r="57" spans="1:9">
      <c r="A57">
        <v>54</v>
      </c>
      <c r="B57" t="str">
        <f ca="1"/>
        <v>Found Property Group</v>
      </c>
      <c r="C57" t="s">
        <v>217</v>
      </c>
      <c r="D57" t="str">
        <f t="shared" ca="1" si="0"/>
        <v>W</v>
      </c>
      <c r="E57" s="36">
        <f t="shared" ca="1" si="1"/>
        <v>43984</v>
      </c>
      <c r="F57" t="s">
        <v>216</v>
      </c>
      <c r="G57" t="s">
        <v>201</v>
      </c>
      <c r="H57" t="s">
        <v>8</v>
      </c>
      <c r="I57" s="45">
        <f t="shared" ca="1" si="2"/>
        <v>70251</v>
      </c>
    </row>
    <row r="58" spans="1:9">
      <c r="A58">
        <v>55</v>
      </c>
      <c r="B58" t="str">
        <f ca="1"/>
        <v>Silverbell Realty</v>
      </c>
      <c r="C58" t="s">
        <v>218</v>
      </c>
      <c r="D58" t="str">
        <f t="shared" ca="1" si="0"/>
        <v>N</v>
      </c>
      <c r="E58" s="36">
        <f t="shared" ca="1" si="1"/>
        <v>44146</v>
      </c>
      <c r="F58" t="s">
        <v>216</v>
      </c>
      <c r="G58" t="s">
        <v>189</v>
      </c>
      <c r="H58" t="s">
        <v>7</v>
      </c>
      <c r="I58" s="45">
        <f t="shared" ca="1" si="2"/>
        <v>82595</v>
      </c>
    </row>
    <row r="59" spans="1:9">
      <c r="A59">
        <v>56</v>
      </c>
      <c r="B59" t="str">
        <f ca="1"/>
        <v>Granite Real Estate</v>
      </c>
      <c r="C59" t="s">
        <v>219</v>
      </c>
      <c r="D59" t="str">
        <f t="shared" ca="1" si="0"/>
        <v>D</v>
      </c>
      <c r="E59" s="36">
        <f t="shared" ca="1" si="1"/>
        <v>43857</v>
      </c>
      <c r="F59" t="s">
        <v>216</v>
      </c>
      <c r="G59" t="s">
        <v>192</v>
      </c>
      <c r="H59" t="s">
        <v>8</v>
      </c>
      <c r="I59" s="45">
        <f t="shared" ca="1" si="2"/>
        <v>74176</v>
      </c>
    </row>
    <row r="60" spans="1:9">
      <c r="A60">
        <v>57</v>
      </c>
      <c r="B60" t="str">
        <f ca="1"/>
        <v>Driggs Realty</v>
      </c>
      <c r="C60" t="s">
        <v>215</v>
      </c>
      <c r="D60" t="str">
        <f t="shared" ca="1" si="0"/>
        <v>R</v>
      </c>
      <c r="E60" s="36">
        <f t="shared" ca="1" si="1"/>
        <v>44138</v>
      </c>
      <c r="F60" t="s">
        <v>216</v>
      </c>
      <c r="G60" t="s">
        <v>195</v>
      </c>
      <c r="H60" t="s">
        <v>7</v>
      </c>
      <c r="I60" s="45">
        <f t="shared" ca="1" si="2"/>
        <v>85614</v>
      </c>
    </row>
    <row r="61" spans="1:9">
      <c r="A61">
        <v>58</v>
      </c>
      <c r="B61" t="str">
        <f ca="1"/>
        <v>Apogee Property Advisors</v>
      </c>
      <c r="C61" t="s">
        <v>217</v>
      </c>
      <c r="D61" t="str">
        <f t="shared" ca="1" si="0"/>
        <v>E</v>
      </c>
      <c r="E61" s="36">
        <f t="shared" ca="1" si="1"/>
        <v>43887</v>
      </c>
      <c r="F61" t="s">
        <v>216</v>
      </c>
      <c r="G61" t="s">
        <v>198</v>
      </c>
      <c r="H61" t="s">
        <v>8</v>
      </c>
      <c r="I61" s="45">
        <f t="shared" ca="1" si="2"/>
        <v>94405</v>
      </c>
    </row>
    <row r="62" spans="1:9">
      <c r="A62">
        <v>59</v>
      </c>
      <c r="B62" t="str">
        <f ca="1"/>
        <v>Corsair Real Estate</v>
      </c>
      <c r="C62" t="s">
        <v>218</v>
      </c>
      <c r="D62" t="str">
        <f t="shared" ca="1" si="0"/>
        <v>B</v>
      </c>
      <c r="E62" s="36">
        <f t="shared" ca="1" si="1"/>
        <v>44031</v>
      </c>
      <c r="F62" t="s">
        <v>216</v>
      </c>
      <c r="G62" t="s">
        <v>200</v>
      </c>
      <c r="H62" t="s">
        <v>7</v>
      </c>
      <c r="I62" s="45">
        <f t="shared" ca="1" si="2"/>
        <v>92833</v>
      </c>
    </row>
    <row r="63" spans="1:9">
      <c r="A63">
        <v>60</v>
      </c>
      <c r="B63" t="str">
        <f ca="1"/>
        <v>Brick Lane Realty</v>
      </c>
      <c r="C63" t="s">
        <v>219</v>
      </c>
      <c r="D63" t="str">
        <f t="shared" ca="1" si="0"/>
        <v>I</v>
      </c>
      <c r="E63" s="36">
        <f t="shared" ca="1" si="1"/>
        <v>44087</v>
      </c>
      <c r="F63" t="s">
        <v>216</v>
      </c>
      <c r="G63" t="s">
        <v>201</v>
      </c>
      <c r="H63" t="s">
        <v>8</v>
      </c>
      <c r="I63" s="45">
        <f t="shared" ca="1" si="2"/>
        <v>93462</v>
      </c>
    </row>
    <row r="64" spans="1:9">
      <c r="A64">
        <v>61</v>
      </c>
      <c r="B64" t="str">
        <f ca="1"/>
        <v>Beacon Homes LLC</v>
      </c>
      <c r="C64" t="s">
        <v>215</v>
      </c>
      <c r="D64" t="str">
        <f t="shared" ca="1" si="0"/>
        <v>E</v>
      </c>
      <c r="E64" s="36">
        <f t="shared" ca="1" si="1"/>
        <v>44101</v>
      </c>
      <c r="F64" t="s">
        <v>216</v>
      </c>
      <c r="G64" t="s">
        <v>189</v>
      </c>
      <c r="H64" t="s">
        <v>7</v>
      </c>
      <c r="I64" s="45">
        <f t="shared" ca="1" si="2"/>
        <v>89044</v>
      </c>
    </row>
    <row r="65" spans="1:9">
      <c r="A65">
        <v>62</v>
      </c>
      <c r="B65" t="str">
        <f ca="1"/>
        <v>Equinox Realty Advisors</v>
      </c>
      <c r="C65" t="s">
        <v>217</v>
      </c>
      <c r="D65" t="str">
        <f t="shared" ca="1" si="0"/>
        <v>M</v>
      </c>
      <c r="E65" s="36">
        <f t="shared" ca="1" si="1"/>
        <v>44045</v>
      </c>
      <c r="F65" t="s">
        <v>216</v>
      </c>
      <c r="G65" t="s">
        <v>192</v>
      </c>
      <c r="H65" t="s">
        <v>8</v>
      </c>
      <c r="I65" s="45">
        <f t="shared" ca="1" si="2"/>
        <v>84693</v>
      </c>
    </row>
    <row r="66" spans="1:9">
      <c r="A66">
        <v>63</v>
      </c>
      <c r="B66" t="str">
        <f ca="1"/>
        <v>Cobblestone Realty Partners</v>
      </c>
      <c r="C66" t="s">
        <v>218</v>
      </c>
      <c r="D66" t="str">
        <f t="shared" ca="1" si="0"/>
        <v>U</v>
      </c>
      <c r="E66" s="36">
        <f t="shared" ca="1" si="1"/>
        <v>44142</v>
      </c>
      <c r="F66" t="s">
        <v>216</v>
      </c>
      <c r="G66" t="s">
        <v>195</v>
      </c>
      <c r="H66" t="s">
        <v>7</v>
      </c>
      <c r="I66" s="45">
        <f t="shared" ca="1" si="2"/>
        <v>70581</v>
      </c>
    </row>
    <row r="67" spans="1:9">
      <c r="A67">
        <v>64</v>
      </c>
      <c r="B67" t="str">
        <f ca="1"/>
        <v>Picket Fence Realty</v>
      </c>
      <c r="C67" t="s">
        <v>219</v>
      </c>
      <c r="D67" t="str">
        <f t="shared" ca="1" si="0"/>
        <v>Y</v>
      </c>
      <c r="E67" s="36">
        <f t="shared" ca="1" si="1"/>
        <v>44155</v>
      </c>
      <c r="F67" t="s">
        <v>216</v>
      </c>
      <c r="G67" t="s">
        <v>198</v>
      </c>
      <c r="H67" t="s">
        <v>8</v>
      </c>
      <c r="I67" s="45">
        <f t="shared" ca="1" si="2"/>
        <v>80576</v>
      </c>
    </row>
    <row r="68" spans="1:9">
      <c r="A68">
        <v>65</v>
      </c>
      <c r="B68" t="str">
        <f ca="1"/>
        <v>Seekers Realty</v>
      </c>
      <c r="C68" t="s">
        <v>215</v>
      </c>
      <c r="D68" t="str">
        <f t="shared" ca="1" si="0"/>
        <v>F</v>
      </c>
      <c r="E68" s="36">
        <f t="shared" ca="1" si="1"/>
        <v>44110</v>
      </c>
      <c r="F68" t="s">
        <v>216</v>
      </c>
      <c r="G68" t="s">
        <v>200</v>
      </c>
      <c r="H68" t="s">
        <v>7</v>
      </c>
      <c r="I68" s="45">
        <f t="shared" ca="1" si="2"/>
        <v>98529</v>
      </c>
    </row>
    <row r="69" spans="1:9">
      <c r="A69">
        <v>66</v>
      </c>
      <c r="B69" t="str">
        <f ca="1"/>
        <v>Blue Sky Realty</v>
      </c>
      <c r="C69" t="s">
        <v>217</v>
      </c>
      <c r="D69" t="str">
        <f t="shared" ref="D69:D132" ca="1" si="3">CHAR(RANDBETWEEN(65,90))</f>
        <v>D</v>
      </c>
      <c r="E69" s="36">
        <f t="shared" ref="E69:E132" ca="1" si="4">RANDBETWEEN(DATE(2020,1,1),DATE(2020,12,31))</f>
        <v>44046</v>
      </c>
      <c r="F69" t="s">
        <v>216</v>
      </c>
      <c r="G69" t="s">
        <v>201</v>
      </c>
      <c r="H69" t="s">
        <v>8</v>
      </c>
      <c r="I69" s="45">
        <f t="shared" ref="I69:I132" ca="1" si="5">RANDBETWEEN(70000,100000)</f>
        <v>85761</v>
      </c>
    </row>
    <row r="70" spans="1:9">
      <c r="A70">
        <v>67</v>
      </c>
      <c r="B70" t="str">
        <f ca="1"/>
        <v>The Viola Group</v>
      </c>
      <c r="C70" t="s">
        <v>218</v>
      </c>
      <c r="D70" t="str">
        <f t="shared" ca="1" si="3"/>
        <v>Q</v>
      </c>
      <c r="E70" s="36">
        <f t="shared" ca="1" si="4"/>
        <v>44024</v>
      </c>
      <c r="F70" t="s">
        <v>216</v>
      </c>
      <c r="G70" t="s">
        <v>189</v>
      </c>
      <c r="H70" t="s">
        <v>7</v>
      </c>
      <c r="I70" s="45">
        <f t="shared" ca="1" si="5"/>
        <v>85511</v>
      </c>
    </row>
    <row r="71" spans="1:9">
      <c r="A71">
        <v>68</v>
      </c>
      <c r="B71" t="str">
        <f ca="1"/>
        <v>Pagoda Partners Realty</v>
      </c>
      <c r="C71" t="s">
        <v>219</v>
      </c>
      <c r="D71" t="str">
        <f t="shared" ca="1" si="3"/>
        <v>L</v>
      </c>
      <c r="E71" s="36">
        <f t="shared" ca="1" si="4"/>
        <v>43906</v>
      </c>
      <c r="F71" t="s">
        <v>216</v>
      </c>
      <c r="G71" t="s">
        <v>192</v>
      </c>
      <c r="H71" t="s">
        <v>8</v>
      </c>
      <c r="I71" s="45">
        <f t="shared" ca="1" si="5"/>
        <v>74785</v>
      </c>
    </row>
    <row r="72" spans="1:9">
      <c r="A72">
        <v>69</v>
      </c>
      <c r="B72" t="str">
        <f ca="1"/>
        <v>Apogee Property Advisors</v>
      </c>
      <c r="C72" t="s">
        <v>215</v>
      </c>
      <c r="D72" t="str">
        <f t="shared" ca="1" si="3"/>
        <v>R</v>
      </c>
      <c r="E72" s="36">
        <f t="shared" ca="1" si="4"/>
        <v>43834</v>
      </c>
      <c r="F72" t="s">
        <v>216</v>
      </c>
      <c r="G72" t="s">
        <v>195</v>
      </c>
      <c r="H72" t="s">
        <v>7</v>
      </c>
      <c r="I72" s="45">
        <f t="shared" ca="1" si="5"/>
        <v>80248</v>
      </c>
    </row>
    <row r="73" spans="1:9">
      <c r="A73">
        <v>70</v>
      </c>
      <c r="B73" t="str">
        <f ca="1"/>
        <v>Finders Group Realty LA</v>
      </c>
      <c r="C73" t="s">
        <v>217</v>
      </c>
      <c r="D73" t="str">
        <f t="shared" ca="1" si="3"/>
        <v>V</v>
      </c>
      <c r="E73" s="36">
        <f t="shared" ca="1" si="4"/>
        <v>44080</v>
      </c>
      <c r="F73" t="s">
        <v>216</v>
      </c>
      <c r="G73" t="s">
        <v>198</v>
      </c>
      <c r="H73" t="s">
        <v>8</v>
      </c>
      <c r="I73" s="45">
        <f t="shared" ca="1" si="5"/>
        <v>90147</v>
      </c>
    </row>
    <row r="74" spans="1:9">
      <c r="A74">
        <v>71</v>
      </c>
      <c r="B74" t="str">
        <f ca="1"/>
        <v>Olive Tree Realty</v>
      </c>
      <c r="C74" t="s">
        <v>218</v>
      </c>
      <c r="D74" t="str">
        <f t="shared" ca="1" si="3"/>
        <v>N</v>
      </c>
      <c r="E74" s="36">
        <f t="shared" ca="1" si="4"/>
        <v>44039</v>
      </c>
      <c r="F74" t="s">
        <v>216</v>
      </c>
      <c r="G74" t="s">
        <v>200</v>
      </c>
      <c r="H74" t="s">
        <v>7</v>
      </c>
      <c r="I74" s="45">
        <f t="shared" ca="1" si="5"/>
        <v>78340</v>
      </c>
    </row>
    <row r="75" spans="1:9">
      <c r="A75">
        <v>72</v>
      </c>
      <c r="B75" t="str">
        <f ca="1"/>
        <v>Magnolia Group Real Estate</v>
      </c>
      <c r="C75" t="s">
        <v>219</v>
      </c>
      <c r="D75" t="str">
        <f t="shared" ca="1" si="3"/>
        <v>Z</v>
      </c>
      <c r="E75" s="36">
        <f t="shared" ca="1" si="4"/>
        <v>43894</v>
      </c>
      <c r="F75" t="s">
        <v>216</v>
      </c>
      <c r="G75" t="s">
        <v>201</v>
      </c>
      <c r="H75" t="s">
        <v>8</v>
      </c>
      <c r="I75" s="45">
        <f t="shared" ca="1" si="5"/>
        <v>77432</v>
      </c>
    </row>
    <row r="76" spans="1:9">
      <c r="A76">
        <v>73</v>
      </c>
      <c r="B76" t="str">
        <f ca="1"/>
        <v>Herringbone Realty</v>
      </c>
      <c r="C76" t="s">
        <v>215</v>
      </c>
      <c r="D76" t="str">
        <f t="shared" ca="1" si="3"/>
        <v>O</v>
      </c>
      <c r="E76" s="36">
        <f t="shared" ca="1" si="4"/>
        <v>44149</v>
      </c>
      <c r="F76" t="s">
        <v>216</v>
      </c>
      <c r="G76" t="s">
        <v>189</v>
      </c>
      <c r="H76" t="s">
        <v>7</v>
      </c>
      <c r="I76" s="45">
        <f t="shared" ca="1" si="5"/>
        <v>80345</v>
      </c>
    </row>
    <row r="77" spans="1:9">
      <c r="A77">
        <v>74</v>
      </c>
      <c r="B77" t="str">
        <f ca="1"/>
        <v>Pagoda Partners Realty</v>
      </c>
      <c r="C77" t="s">
        <v>217</v>
      </c>
      <c r="D77" t="str">
        <f t="shared" ca="1" si="3"/>
        <v>R</v>
      </c>
      <c r="E77" s="36">
        <f t="shared" ca="1" si="4"/>
        <v>44008</v>
      </c>
      <c r="F77" t="s">
        <v>216</v>
      </c>
      <c r="G77" t="s">
        <v>192</v>
      </c>
      <c r="H77" t="s">
        <v>8</v>
      </c>
      <c r="I77" s="45">
        <f t="shared" ca="1" si="5"/>
        <v>92001</v>
      </c>
    </row>
    <row r="78" spans="1:9">
      <c r="A78">
        <v>75</v>
      </c>
      <c r="B78" t="str">
        <f ca="1"/>
        <v>Finders Group Realty LA</v>
      </c>
      <c r="C78" t="s">
        <v>218</v>
      </c>
      <c r="D78" t="str">
        <f t="shared" ca="1" si="3"/>
        <v>N</v>
      </c>
      <c r="E78" s="36">
        <f t="shared" ca="1" si="4"/>
        <v>44032</v>
      </c>
      <c r="F78" t="s">
        <v>216</v>
      </c>
      <c r="G78" t="s">
        <v>195</v>
      </c>
      <c r="H78" t="s">
        <v>7</v>
      </c>
      <c r="I78" s="45">
        <f t="shared" ca="1" si="5"/>
        <v>85457</v>
      </c>
    </row>
    <row r="79" spans="1:9">
      <c r="A79">
        <v>76</v>
      </c>
      <c r="B79" t="str">
        <f ca="1"/>
        <v>Weathervane Group Realty</v>
      </c>
      <c r="C79" t="s">
        <v>219</v>
      </c>
      <c r="D79" t="str">
        <f t="shared" ca="1" si="3"/>
        <v>X</v>
      </c>
      <c r="E79" s="36">
        <f t="shared" ca="1" si="4"/>
        <v>43914</v>
      </c>
      <c r="F79" t="s">
        <v>216</v>
      </c>
      <c r="G79" t="s">
        <v>198</v>
      </c>
      <c r="H79" t="s">
        <v>8</v>
      </c>
      <c r="I79" s="45">
        <f t="shared" ca="1" si="5"/>
        <v>96684</v>
      </c>
    </row>
    <row r="80" spans="1:9">
      <c r="A80">
        <v>77</v>
      </c>
      <c r="B80" t="str">
        <f ca="1"/>
        <v>Apogee Property Advisors</v>
      </c>
      <c r="C80" t="s">
        <v>215</v>
      </c>
      <c r="D80" t="str">
        <f t="shared" ca="1" si="3"/>
        <v>I</v>
      </c>
      <c r="E80" s="36">
        <f t="shared" ca="1" si="4"/>
        <v>43851</v>
      </c>
      <c r="F80" t="s">
        <v>216</v>
      </c>
      <c r="G80" t="s">
        <v>200</v>
      </c>
      <c r="H80" t="s">
        <v>7</v>
      </c>
      <c r="I80" s="45">
        <f t="shared" ca="1" si="5"/>
        <v>78622</v>
      </c>
    </row>
    <row r="81" spans="1:9">
      <c r="A81">
        <v>78</v>
      </c>
      <c r="B81" t="str">
        <f ca="1"/>
        <v>Five Star Real Property</v>
      </c>
      <c r="C81" t="s">
        <v>217</v>
      </c>
      <c r="D81" t="str">
        <f t="shared" ca="1" si="3"/>
        <v>C</v>
      </c>
      <c r="E81" s="36">
        <f t="shared" ca="1" si="4"/>
        <v>44068</v>
      </c>
      <c r="F81" t="s">
        <v>216</v>
      </c>
      <c r="G81" t="s">
        <v>201</v>
      </c>
      <c r="H81" t="s">
        <v>8</v>
      </c>
      <c r="I81" s="45">
        <f t="shared" ca="1" si="5"/>
        <v>71442</v>
      </c>
    </row>
    <row r="82" spans="1:9">
      <c r="A82">
        <v>79</v>
      </c>
      <c r="B82" t="str">
        <f ca="1"/>
        <v>Shipwright Realty</v>
      </c>
      <c r="C82" t="s">
        <v>218</v>
      </c>
      <c r="D82" t="str">
        <f t="shared" ca="1" si="3"/>
        <v>U</v>
      </c>
      <c r="E82" s="36">
        <f t="shared" ca="1" si="4"/>
        <v>44196</v>
      </c>
      <c r="F82" t="s">
        <v>216</v>
      </c>
      <c r="G82" t="s">
        <v>189</v>
      </c>
      <c r="H82" t="s">
        <v>7</v>
      </c>
      <c r="I82" s="45">
        <f t="shared" ca="1" si="5"/>
        <v>94266</v>
      </c>
    </row>
    <row r="83" spans="1:9">
      <c r="A83">
        <v>80</v>
      </c>
      <c r="B83" t="str">
        <f ca="1"/>
        <v>Acuta Real Estate</v>
      </c>
      <c r="C83" t="s">
        <v>219</v>
      </c>
      <c r="D83" t="str">
        <f t="shared" ca="1" si="3"/>
        <v>P</v>
      </c>
      <c r="E83" s="36">
        <f t="shared" ca="1" si="4"/>
        <v>44133</v>
      </c>
      <c r="F83" t="s">
        <v>216</v>
      </c>
      <c r="G83" t="s">
        <v>192</v>
      </c>
      <c r="H83" t="s">
        <v>8</v>
      </c>
      <c r="I83" s="45">
        <f t="shared" ca="1" si="5"/>
        <v>71926</v>
      </c>
    </row>
    <row r="84" spans="1:9">
      <c r="A84">
        <v>81</v>
      </c>
      <c r="B84" t="str">
        <f ca="1"/>
        <v>Brick Lane Realty</v>
      </c>
      <c r="C84" t="s">
        <v>215</v>
      </c>
      <c r="D84" t="str">
        <f t="shared" ca="1" si="3"/>
        <v>E</v>
      </c>
      <c r="E84" s="36">
        <f t="shared" ca="1" si="4"/>
        <v>44044</v>
      </c>
      <c r="F84" t="s">
        <v>216</v>
      </c>
      <c r="G84" t="s">
        <v>195</v>
      </c>
      <c r="H84" t="s">
        <v>7</v>
      </c>
      <c r="I84" s="45">
        <f t="shared" ca="1" si="5"/>
        <v>85137</v>
      </c>
    </row>
    <row r="85" spans="1:9">
      <c r="A85">
        <v>82</v>
      </c>
      <c r="B85" t="str">
        <f ca="1"/>
        <v>Axis Group Real Estate</v>
      </c>
      <c r="C85" t="s">
        <v>217</v>
      </c>
      <c r="D85" t="str">
        <f t="shared" ca="1" si="3"/>
        <v>C</v>
      </c>
      <c r="E85" s="36">
        <f t="shared" ca="1" si="4"/>
        <v>44167</v>
      </c>
      <c r="F85" t="s">
        <v>216</v>
      </c>
      <c r="G85" t="s">
        <v>198</v>
      </c>
      <c r="H85" t="s">
        <v>8</v>
      </c>
      <c r="I85" s="45">
        <f t="shared" ca="1" si="5"/>
        <v>75888</v>
      </c>
    </row>
    <row r="86" spans="1:9">
      <c r="A86">
        <v>83</v>
      </c>
      <c r="B86" t="str">
        <f ca="1"/>
        <v>Champion Real Estate Advisors</v>
      </c>
      <c r="C86" t="s">
        <v>218</v>
      </c>
      <c r="D86" t="str">
        <f t="shared" ca="1" si="3"/>
        <v>F</v>
      </c>
      <c r="E86" s="36">
        <f t="shared" ca="1" si="4"/>
        <v>43872</v>
      </c>
      <c r="F86" t="s">
        <v>216</v>
      </c>
      <c r="G86" t="s">
        <v>200</v>
      </c>
      <c r="H86" t="s">
        <v>7</v>
      </c>
      <c r="I86" s="45">
        <f t="shared" ca="1" si="5"/>
        <v>74174</v>
      </c>
    </row>
    <row r="87" spans="1:9">
      <c r="A87">
        <v>84</v>
      </c>
      <c r="B87" t="str">
        <f ca="1"/>
        <v>Platinum Property Advisors</v>
      </c>
      <c r="C87" t="s">
        <v>219</v>
      </c>
      <c r="D87" t="str">
        <f t="shared" ca="1" si="3"/>
        <v>C</v>
      </c>
      <c r="E87" s="36">
        <f t="shared" ca="1" si="4"/>
        <v>44046</v>
      </c>
      <c r="F87" t="s">
        <v>216</v>
      </c>
      <c r="G87" t="s">
        <v>201</v>
      </c>
      <c r="H87" t="s">
        <v>8</v>
      </c>
      <c r="I87" s="45">
        <f t="shared" ca="1" si="5"/>
        <v>83078</v>
      </c>
    </row>
    <row r="88" spans="1:9">
      <c r="A88">
        <v>85</v>
      </c>
      <c r="B88" t="str">
        <f ca="1"/>
        <v>Granite Real Estate</v>
      </c>
      <c r="C88" t="s">
        <v>215</v>
      </c>
      <c r="D88" t="str">
        <f t="shared" ca="1" si="3"/>
        <v>J</v>
      </c>
      <c r="E88" s="36">
        <f t="shared" ca="1" si="4"/>
        <v>43980</v>
      </c>
      <c r="F88" t="s">
        <v>216</v>
      </c>
      <c r="G88" t="s">
        <v>189</v>
      </c>
      <c r="H88" t="s">
        <v>7</v>
      </c>
      <c r="I88" s="45">
        <f t="shared" ca="1" si="5"/>
        <v>89641</v>
      </c>
    </row>
    <row r="89" spans="1:9">
      <c r="A89">
        <v>86</v>
      </c>
      <c r="B89" t="str">
        <f ca="1"/>
        <v>Lamplighters Realty</v>
      </c>
      <c r="C89" t="s">
        <v>217</v>
      </c>
      <c r="D89" t="str">
        <f t="shared" ca="1" si="3"/>
        <v>C</v>
      </c>
      <c r="E89" s="36">
        <f t="shared" ca="1" si="4"/>
        <v>43876</v>
      </c>
      <c r="F89" t="s">
        <v>216</v>
      </c>
      <c r="G89" t="s">
        <v>192</v>
      </c>
      <c r="H89" t="s">
        <v>8</v>
      </c>
      <c r="I89" s="45">
        <f t="shared" ca="1" si="5"/>
        <v>89593</v>
      </c>
    </row>
    <row r="90" spans="1:9">
      <c r="A90">
        <v>87</v>
      </c>
      <c r="B90" t="str">
        <f ca="1"/>
        <v>Blue Slate Realty</v>
      </c>
      <c r="C90" t="s">
        <v>218</v>
      </c>
      <c r="D90" t="str">
        <f t="shared" ca="1" si="3"/>
        <v>T</v>
      </c>
      <c r="E90" s="36">
        <f t="shared" ca="1" si="4"/>
        <v>44089</v>
      </c>
      <c r="F90" t="s">
        <v>216</v>
      </c>
      <c r="G90" t="s">
        <v>195</v>
      </c>
      <c r="H90" t="s">
        <v>7</v>
      </c>
      <c r="I90" s="45">
        <f t="shared" ca="1" si="5"/>
        <v>78430</v>
      </c>
    </row>
    <row r="91" spans="1:9">
      <c r="A91">
        <v>88</v>
      </c>
      <c r="B91" t="str">
        <f ca="1"/>
        <v>Forward Real Estate Advisors</v>
      </c>
      <c r="C91" t="s">
        <v>219</v>
      </c>
      <c r="D91" t="str">
        <f t="shared" ca="1" si="3"/>
        <v>G</v>
      </c>
      <c r="E91" s="36">
        <f t="shared" ca="1" si="4"/>
        <v>43920</v>
      </c>
      <c r="F91" t="s">
        <v>216</v>
      </c>
      <c r="G91" t="s">
        <v>198</v>
      </c>
      <c r="H91" t="s">
        <v>8</v>
      </c>
      <c r="I91" s="45">
        <f t="shared" ca="1" si="5"/>
        <v>96465</v>
      </c>
    </row>
    <row r="92" spans="1:9">
      <c r="A92">
        <v>89</v>
      </c>
      <c r="B92" t="str">
        <f ca="1"/>
        <v>Blue Sky Realty</v>
      </c>
      <c r="C92" t="s">
        <v>215</v>
      </c>
      <c r="D92" t="str">
        <f t="shared" ca="1" si="3"/>
        <v>R</v>
      </c>
      <c r="E92" s="36">
        <f t="shared" ca="1" si="4"/>
        <v>43899</v>
      </c>
      <c r="F92" t="s">
        <v>216</v>
      </c>
      <c r="G92" t="s">
        <v>200</v>
      </c>
      <c r="H92" t="s">
        <v>7</v>
      </c>
      <c r="I92" s="45">
        <f t="shared" ca="1" si="5"/>
        <v>74243</v>
      </c>
    </row>
    <row r="93" spans="1:9">
      <c r="A93">
        <v>90</v>
      </c>
      <c r="B93" t="str">
        <f ca="1"/>
        <v>Axis Group Real Estate</v>
      </c>
      <c r="C93" t="s">
        <v>217</v>
      </c>
      <c r="D93" t="str">
        <f t="shared" ca="1" si="3"/>
        <v>E</v>
      </c>
      <c r="E93" s="36">
        <f t="shared" ca="1" si="4"/>
        <v>43978</v>
      </c>
      <c r="F93" t="s">
        <v>216</v>
      </c>
      <c r="G93" t="s">
        <v>201</v>
      </c>
      <c r="H93" t="s">
        <v>8</v>
      </c>
      <c r="I93" s="45">
        <f t="shared" ca="1" si="5"/>
        <v>88477</v>
      </c>
    </row>
    <row r="94" spans="1:9">
      <c r="A94">
        <v>91</v>
      </c>
      <c r="B94" t="str">
        <f ca="1"/>
        <v>Sequoia Real Estate</v>
      </c>
      <c r="C94" t="s">
        <v>218</v>
      </c>
      <c r="D94" t="str">
        <f t="shared" ca="1" si="3"/>
        <v>B</v>
      </c>
      <c r="E94" s="36">
        <f t="shared" ca="1" si="4"/>
        <v>43932</v>
      </c>
      <c r="F94" t="s">
        <v>216</v>
      </c>
      <c r="G94" t="s">
        <v>189</v>
      </c>
      <c r="H94" t="s">
        <v>7</v>
      </c>
      <c r="I94" s="45">
        <f t="shared" ca="1" si="5"/>
        <v>96871</v>
      </c>
    </row>
    <row r="95" spans="1:9">
      <c r="A95">
        <v>92</v>
      </c>
      <c r="B95" t="str">
        <f ca="1"/>
        <v>Lark Homes</v>
      </c>
      <c r="C95" t="s">
        <v>219</v>
      </c>
      <c r="D95" t="str">
        <f t="shared" ca="1" si="3"/>
        <v>T</v>
      </c>
      <c r="E95" s="36">
        <f t="shared" ca="1" si="4"/>
        <v>43836</v>
      </c>
      <c r="F95" t="s">
        <v>216</v>
      </c>
      <c r="G95" t="s">
        <v>192</v>
      </c>
      <c r="H95" t="s">
        <v>8</v>
      </c>
      <c r="I95" s="45">
        <f t="shared" ca="1" si="5"/>
        <v>94107</v>
      </c>
    </row>
    <row r="96" spans="1:9">
      <c r="A96">
        <v>93</v>
      </c>
      <c r="B96" t="str">
        <f ca="1"/>
        <v>Siren Partners Real Estate</v>
      </c>
      <c r="C96" t="s">
        <v>215</v>
      </c>
      <c r="D96" t="str">
        <f t="shared" ca="1" si="3"/>
        <v>W</v>
      </c>
      <c r="E96" s="36">
        <f t="shared" ca="1" si="4"/>
        <v>44056</v>
      </c>
      <c r="F96" t="s">
        <v>216</v>
      </c>
      <c r="G96" t="s">
        <v>195</v>
      </c>
      <c r="H96" t="s">
        <v>7</v>
      </c>
      <c r="I96" s="45">
        <f t="shared" ca="1" si="5"/>
        <v>73094</v>
      </c>
    </row>
    <row r="97" spans="1:9">
      <c r="A97">
        <v>94</v>
      </c>
      <c r="B97" t="str">
        <f ca="1"/>
        <v>Granite Real Estate</v>
      </c>
      <c r="C97" t="s">
        <v>217</v>
      </c>
      <c r="D97" t="str">
        <f t="shared" ca="1" si="3"/>
        <v>B</v>
      </c>
      <c r="E97" s="36">
        <f t="shared" ca="1" si="4"/>
        <v>44134</v>
      </c>
      <c r="F97" t="s">
        <v>216</v>
      </c>
      <c r="G97" t="s">
        <v>198</v>
      </c>
      <c r="H97" t="s">
        <v>8</v>
      </c>
      <c r="I97" s="45">
        <f t="shared" ca="1" si="5"/>
        <v>72963</v>
      </c>
    </row>
    <row r="98" spans="1:9">
      <c r="A98">
        <v>95</v>
      </c>
      <c r="B98" t="str">
        <f ca="1"/>
        <v>Stellar Property Advisors</v>
      </c>
      <c r="C98" t="s">
        <v>218</v>
      </c>
      <c r="D98" t="str">
        <f t="shared" ca="1" si="3"/>
        <v>E</v>
      </c>
      <c r="E98" s="36">
        <f t="shared" ca="1" si="4"/>
        <v>43982</v>
      </c>
      <c r="F98" t="s">
        <v>216</v>
      </c>
      <c r="G98" t="s">
        <v>200</v>
      </c>
      <c r="H98" t="s">
        <v>7</v>
      </c>
      <c r="I98" s="45">
        <f t="shared" ca="1" si="5"/>
        <v>88633</v>
      </c>
    </row>
    <row r="99" spans="1:9">
      <c r="A99">
        <v>96</v>
      </c>
      <c r="B99" t="str">
        <f ca="1"/>
        <v>Lamplighters Realty</v>
      </c>
      <c r="C99" t="s">
        <v>219</v>
      </c>
      <c r="D99" t="str">
        <f t="shared" ca="1" si="3"/>
        <v>V</v>
      </c>
      <c r="E99" s="36">
        <f t="shared" ca="1" si="4"/>
        <v>43864</v>
      </c>
      <c r="F99" t="s">
        <v>216</v>
      </c>
      <c r="G99" t="s">
        <v>201</v>
      </c>
      <c r="H99" t="s">
        <v>8</v>
      </c>
      <c r="I99" s="45">
        <f t="shared" ca="1" si="5"/>
        <v>93725</v>
      </c>
    </row>
    <row r="100" spans="1:9">
      <c r="A100">
        <v>97</v>
      </c>
      <c r="B100" t="str">
        <f ca="1"/>
        <v>Cardinal Realty</v>
      </c>
      <c r="C100" t="s">
        <v>215</v>
      </c>
      <c r="D100" t="str">
        <f t="shared" ca="1" si="3"/>
        <v>V</v>
      </c>
      <c r="E100" s="36">
        <f t="shared" ca="1" si="4"/>
        <v>44078</v>
      </c>
      <c r="F100" t="s">
        <v>216</v>
      </c>
      <c r="G100" t="s">
        <v>189</v>
      </c>
      <c r="H100" t="s">
        <v>7</v>
      </c>
      <c r="I100" s="45">
        <f t="shared" ca="1" si="5"/>
        <v>85235</v>
      </c>
    </row>
    <row r="101" spans="1:9">
      <c r="A101">
        <v>98</v>
      </c>
      <c r="B101" t="str">
        <f ca="1"/>
        <v>Orchard Street Properties</v>
      </c>
      <c r="C101" t="s">
        <v>217</v>
      </c>
      <c r="D101" t="str">
        <f t="shared" ca="1" si="3"/>
        <v>D</v>
      </c>
      <c r="E101" s="36">
        <f t="shared" ca="1" si="4"/>
        <v>43854</v>
      </c>
      <c r="F101" t="s">
        <v>216</v>
      </c>
      <c r="G101" t="s">
        <v>192</v>
      </c>
      <c r="H101" t="s">
        <v>8</v>
      </c>
      <c r="I101" s="45">
        <f t="shared" ca="1" si="5"/>
        <v>87209</v>
      </c>
    </row>
    <row r="102" spans="1:9">
      <c r="A102">
        <v>99</v>
      </c>
      <c r="B102" t="str">
        <f ca="1"/>
        <v>Landmark Realty Group</v>
      </c>
      <c r="C102" t="s">
        <v>218</v>
      </c>
      <c r="D102" t="str">
        <f t="shared" ca="1" si="3"/>
        <v>M</v>
      </c>
      <c r="E102" s="36">
        <f t="shared" ca="1" si="4"/>
        <v>43989</v>
      </c>
      <c r="F102" t="s">
        <v>216</v>
      </c>
      <c r="G102" t="s">
        <v>195</v>
      </c>
      <c r="H102" t="s">
        <v>7</v>
      </c>
      <c r="I102" s="45">
        <f t="shared" ca="1" si="5"/>
        <v>98060</v>
      </c>
    </row>
    <row r="103" spans="1:9">
      <c r="A103">
        <v>100</v>
      </c>
      <c r="B103" t="str">
        <f ca="1"/>
        <v>Black Oak Realty</v>
      </c>
      <c r="C103" t="s">
        <v>219</v>
      </c>
      <c r="D103" t="str">
        <f t="shared" ca="1" si="3"/>
        <v>Z</v>
      </c>
      <c r="E103" s="36">
        <f t="shared" ca="1" si="4"/>
        <v>43856</v>
      </c>
      <c r="F103" t="s">
        <v>216</v>
      </c>
      <c r="G103" t="s">
        <v>198</v>
      </c>
      <c r="H103" t="s">
        <v>8</v>
      </c>
      <c r="I103" s="45">
        <f t="shared" ca="1" si="5"/>
        <v>94501</v>
      </c>
    </row>
    <row r="104" spans="1:9">
      <c r="A104">
        <v>101</v>
      </c>
      <c r="B104" t="str">
        <f ca="1"/>
        <v>Cardinal Realty</v>
      </c>
      <c r="C104" t="s">
        <v>215</v>
      </c>
      <c r="D104" t="str">
        <f t="shared" ca="1" si="3"/>
        <v>D</v>
      </c>
      <c r="E104" s="36">
        <f t="shared" ca="1" si="4"/>
        <v>44129</v>
      </c>
      <c r="F104" t="s">
        <v>216</v>
      </c>
      <c r="G104" t="s">
        <v>200</v>
      </c>
      <c r="H104" t="s">
        <v>7</v>
      </c>
      <c r="I104" s="45">
        <f t="shared" ca="1" si="5"/>
        <v>96017</v>
      </c>
    </row>
    <row r="105" spans="1:9">
      <c r="A105">
        <v>102</v>
      </c>
      <c r="B105" t="str">
        <f ca="1"/>
        <v>Keystone Group Real Estate</v>
      </c>
      <c r="C105" t="s">
        <v>217</v>
      </c>
      <c r="D105" t="str">
        <f t="shared" ca="1" si="3"/>
        <v>Y</v>
      </c>
      <c r="E105" s="36">
        <f t="shared" ca="1" si="4"/>
        <v>44119</v>
      </c>
      <c r="F105" t="s">
        <v>216</v>
      </c>
      <c r="G105" t="s">
        <v>201</v>
      </c>
      <c r="H105" t="s">
        <v>8</v>
      </c>
      <c r="I105" s="45">
        <f t="shared" ca="1" si="5"/>
        <v>81335</v>
      </c>
    </row>
    <row r="106" spans="1:9">
      <c r="A106">
        <v>103</v>
      </c>
      <c r="B106" t="str">
        <f ca="1"/>
        <v>Privet Group Real Property</v>
      </c>
      <c r="C106" t="s">
        <v>218</v>
      </c>
      <c r="D106" t="str">
        <f t="shared" ca="1" si="3"/>
        <v>A</v>
      </c>
      <c r="E106" s="36">
        <f t="shared" ca="1" si="4"/>
        <v>44064</v>
      </c>
      <c r="F106" t="s">
        <v>216</v>
      </c>
      <c r="G106" t="s">
        <v>189</v>
      </c>
      <c r="H106" t="s">
        <v>7</v>
      </c>
      <c r="I106" s="45">
        <f t="shared" ca="1" si="5"/>
        <v>85540</v>
      </c>
    </row>
    <row r="107" spans="1:9">
      <c r="A107">
        <v>104</v>
      </c>
      <c r="B107" t="str">
        <f ca="1"/>
        <v>Brick Lane Realty</v>
      </c>
      <c r="C107" t="s">
        <v>219</v>
      </c>
      <c r="D107" t="str">
        <f t="shared" ca="1" si="3"/>
        <v>V</v>
      </c>
      <c r="E107" s="36">
        <f t="shared" ca="1" si="4"/>
        <v>43926</v>
      </c>
      <c r="F107" t="s">
        <v>216</v>
      </c>
      <c r="G107" t="s">
        <v>192</v>
      </c>
      <c r="H107" t="s">
        <v>8</v>
      </c>
      <c r="I107" s="45">
        <f t="shared" ca="1" si="5"/>
        <v>89022</v>
      </c>
    </row>
    <row r="108" spans="1:9">
      <c r="A108">
        <v>105</v>
      </c>
      <c r="B108" t="str">
        <f ca="1"/>
        <v>Keystone Group Real Estate</v>
      </c>
      <c r="C108" t="s">
        <v>215</v>
      </c>
      <c r="D108" t="str">
        <f t="shared" ca="1" si="3"/>
        <v>W</v>
      </c>
      <c r="E108" s="36">
        <f t="shared" ca="1" si="4"/>
        <v>43960</v>
      </c>
      <c r="F108" t="s">
        <v>216</v>
      </c>
      <c r="G108" t="s">
        <v>195</v>
      </c>
      <c r="H108" t="s">
        <v>7</v>
      </c>
      <c r="I108" s="45">
        <f t="shared" ca="1" si="5"/>
        <v>71924</v>
      </c>
    </row>
    <row r="109" spans="1:9">
      <c r="A109">
        <v>106</v>
      </c>
      <c r="B109" t="str">
        <f ca="1"/>
        <v>Full Circle Real Estate</v>
      </c>
      <c r="C109" t="s">
        <v>217</v>
      </c>
      <c r="D109" t="str">
        <f t="shared" ca="1" si="3"/>
        <v>T</v>
      </c>
      <c r="E109" s="36">
        <f t="shared" ca="1" si="4"/>
        <v>44196</v>
      </c>
      <c r="F109" t="s">
        <v>216</v>
      </c>
      <c r="G109" t="s">
        <v>198</v>
      </c>
      <c r="H109" t="s">
        <v>8</v>
      </c>
      <c r="I109" s="45">
        <f t="shared" ca="1" si="5"/>
        <v>79205</v>
      </c>
    </row>
    <row r="110" spans="1:9">
      <c r="A110">
        <v>107</v>
      </c>
      <c r="B110" t="str">
        <f ca="1"/>
        <v>Magnolia Group Real Estate</v>
      </c>
      <c r="C110" t="s">
        <v>218</v>
      </c>
      <c r="D110" t="str">
        <f t="shared" ca="1" si="3"/>
        <v>O</v>
      </c>
      <c r="E110" s="36">
        <f t="shared" ca="1" si="4"/>
        <v>44176</v>
      </c>
      <c r="F110" t="s">
        <v>216</v>
      </c>
      <c r="G110" t="s">
        <v>200</v>
      </c>
      <c r="H110" t="s">
        <v>7</v>
      </c>
      <c r="I110" s="45">
        <f t="shared" ca="1" si="5"/>
        <v>99697</v>
      </c>
    </row>
    <row r="111" spans="1:9">
      <c r="A111">
        <v>108</v>
      </c>
      <c r="B111" t="str">
        <f ca="1"/>
        <v>Apogee Property Advisors</v>
      </c>
      <c r="C111" t="s">
        <v>219</v>
      </c>
      <c r="D111" t="str">
        <f t="shared" ca="1" si="3"/>
        <v>G</v>
      </c>
      <c r="E111" s="36">
        <f t="shared" ca="1" si="4"/>
        <v>43913</v>
      </c>
      <c r="F111" t="s">
        <v>216</v>
      </c>
      <c r="G111" t="s">
        <v>201</v>
      </c>
      <c r="H111" t="s">
        <v>8</v>
      </c>
      <c r="I111" s="45">
        <f t="shared" ca="1" si="5"/>
        <v>98885</v>
      </c>
    </row>
    <row r="112" spans="1:9">
      <c r="A112">
        <v>109</v>
      </c>
      <c r="B112" t="str">
        <f ca="1"/>
        <v>Blue Reef Properties</v>
      </c>
      <c r="C112" t="s">
        <v>215</v>
      </c>
      <c r="D112" t="str">
        <f t="shared" ca="1" si="3"/>
        <v>Z</v>
      </c>
      <c r="E112" s="36">
        <f t="shared" ca="1" si="4"/>
        <v>44134</v>
      </c>
      <c r="F112" t="s">
        <v>216</v>
      </c>
      <c r="G112" t="s">
        <v>189</v>
      </c>
      <c r="H112" t="s">
        <v>7</v>
      </c>
      <c r="I112" s="45">
        <f t="shared" ca="1" si="5"/>
        <v>83867</v>
      </c>
    </row>
    <row r="113" spans="1:9">
      <c r="A113">
        <v>110</v>
      </c>
      <c r="B113" t="str">
        <f ca="1"/>
        <v>Strive Partners Realty</v>
      </c>
      <c r="C113" t="s">
        <v>217</v>
      </c>
      <c r="D113" t="str">
        <f t="shared" ca="1" si="3"/>
        <v>K</v>
      </c>
      <c r="E113" s="36">
        <f t="shared" ca="1" si="4"/>
        <v>44113</v>
      </c>
      <c r="F113" t="s">
        <v>216</v>
      </c>
      <c r="G113" t="s">
        <v>192</v>
      </c>
      <c r="H113" t="s">
        <v>8</v>
      </c>
      <c r="I113" s="45">
        <f t="shared" ca="1" si="5"/>
        <v>97228</v>
      </c>
    </row>
    <row r="114" spans="1:9">
      <c r="A114">
        <v>111</v>
      </c>
      <c r="B114" t="str">
        <f ca="1"/>
        <v>Fortune Team</v>
      </c>
      <c r="C114" t="s">
        <v>218</v>
      </c>
      <c r="D114" t="str">
        <f t="shared" ca="1" si="3"/>
        <v>N</v>
      </c>
      <c r="E114" s="36">
        <f t="shared" ca="1" si="4"/>
        <v>43867</v>
      </c>
      <c r="F114" t="s">
        <v>216</v>
      </c>
      <c r="G114" t="s">
        <v>195</v>
      </c>
      <c r="H114" t="s">
        <v>7</v>
      </c>
      <c r="I114" s="45">
        <f t="shared" ca="1" si="5"/>
        <v>76727</v>
      </c>
    </row>
    <row r="115" spans="1:9">
      <c r="A115">
        <v>112</v>
      </c>
      <c r="B115" t="str">
        <f ca="1"/>
        <v>Sunstone Property Advisors</v>
      </c>
      <c r="C115" t="s">
        <v>219</v>
      </c>
      <c r="D115" t="str">
        <f t="shared" ca="1" si="3"/>
        <v>W</v>
      </c>
      <c r="E115" s="36">
        <f t="shared" ca="1" si="4"/>
        <v>43879</v>
      </c>
      <c r="F115" t="s">
        <v>216</v>
      </c>
      <c r="G115" t="s">
        <v>198</v>
      </c>
      <c r="H115" t="s">
        <v>8</v>
      </c>
      <c r="I115" s="45">
        <f t="shared" ca="1" si="5"/>
        <v>93351</v>
      </c>
    </row>
    <row r="116" spans="1:9">
      <c r="A116">
        <v>113</v>
      </c>
      <c r="B116" t="str">
        <f ca="1"/>
        <v>Privet Group Real Property</v>
      </c>
      <c r="C116" t="s">
        <v>215</v>
      </c>
      <c r="D116" t="str">
        <f t="shared" ca="1" si="3"/>
        <v>U</v>
      </c>
      <c r="E116" s="36">
        <f t="shared" ca="1" si="4"/>
        <v>43905</v>
      </c>
      <c r="F116" t="s">
        <v>216</v>
      </c>
      <c r="G116" t="s">
        <v>200</v>
      </c>
      <c r="H116" t="s">
        <v>7</v>
      </c>
      <c r="I116" s="45">
        <f t="shared" ca="1" si="5"/>
        <v>70307</v>
      </c>
    </row>
    <row r="117" spans="1:9">
      <c r="A117">
        <v>114</v>
      </c>
      <c r="B117" t="str">
        <f ca="1"/>
        <v>Apogee Property Advisors</v>
      </c>
      <c r="C117" t="s">
        <v>217</v>
      </c>
      <c r="D117" t="str">
        <f t="shared" ca="1" si="3"/>
        <v>H</v>
      </c>
      <c r="E117" s="36">
        <f t="shared" ca="1" si="4"/>
        <v>44035</v>
      </c>
      <c r="F117" t="s">
        <v>216</v>
      </c>
      <c r="G117" t="s">
        <v>201</v>
      </c>
      <c r="H117" t="s">
        <v>8</v>
      </c>
      <c r="I117" s="45">
        <f t="shared" ca="1" si="5"/>
        <v>80512</v>
      </c>
    </row>
    <row r="118" spans="1:9">
      <c r="A118">
        <v>115</v>
      </c>
      <c r="B118" t="str">
        <f ca="1"/>
        <v>Apogee Property Advisors</v>
      </c>
      <c r="C118" t="s">
        <v>218</v>
      </c>
      <c r="D118" t="str">
        <f t="shared" ca="1" si="3"/>
        <v>L</v>
      </c>
      <c r="E118" s="36">
        <f t="shared" ca="1" si="4"/>
        <v>43932</v>
      </c>
      <c r="F118" t="s">
        <v>216</v>
      </c>
      <c r="G118" t="s">
        <v>189</v>
      </c>
      <c r="H118" t="s">
        <v>7</v>
      </c>
      <c r="I118" s="45">
        <f t="shared" ca="1" si="5"/>
        <v>71750</v>
      </c>
    </row>
    <row r="119" spans="1:9">
      <c r="A119">
        <v>116</v>
      </c>
      <c r="B119" t="str">
        <f ca="1"/>
        <v>Stellar Property Advisors</v>
      </c>
      <c r="C119" t="s">
        <v>219</v>
      </c>
      <c r="D119" t="str">
        <f t="shared" ca="1" si="3"/>
        <v>E</v>
      </c>
      <c r="E119" s="36">
        <f t="shared" ca="1" si="4"/>
        <v>44040</v>
      </c>
      <c r="F119" t="s">
        <v>216</v>
      </c>
      <c r="G119" t="s">
        <v>192</v>
      </c>
      <c r="H119" t="s">
        <v>8</v>
      </c>
      <c r="I119" s="45">
        <f t="shared" ca="1" si="5"/>
        <v>89305</v>
      </c>
    </row>
    <row r="120" spans="1:9">
      <c r="A120">
        <v>117</v>
      </c>
      <c r="B120" t="str">
        <f ca="1"/>
        <v>Sterling Property Advisors</v>
      </c>
      <c r="C120" t="s">
        <v>215</v>
      </c>
      <c r="D120" t="str">
        <f t="shared" ca="1" si="3"/>
        <v>I</v>
      </c>
      <c r="E120" s="36">
        <f t="shared" ca="1" si="4"/>
        <v>44168</v>
      </c>
      <c r="F120" t="s">
        <v>216</v>
      </c>
      <c r="G120" t="s">
        <v>195</v>
      </c>
      <c r="H120" t="s">
        <v>7</v>
      </c>
      <c r="I120" s="45">
        <f t="shared" ca="1" si="5"/>
        <v>98591</v>
      </c>
    </row>
    <row r="121" spans="1:9">
      <c r="A121">
        <v>118</v>
      </c>
      <c r="B121" t="str">
        <f ca="1"/>
        <v>Citadel Partners Realty</v>
      </c>
      <c r="C121" t="s">
        <v>217</v>
      </c>
      <c r="D121" t="str">
        <f t="shared" ca="1" si="3"/>
        <v>Y</v>
      </c>
      <c r="E121" s="36">
        <f t="shared" ca="1" si="4"/>
        <v>43869</v>
      </c>
      <c r="F121" t="s">
        <v>216</v>
      </c>
      <c r="G121" t="s">
        <v>198</v>
      </c>
      <c r="H121" t="s">
        <v>8</v>
      </c>
      <c r="I121" s="45">
        <f t="shared" ca="1" si="5"/>
        <v>77254</v>
      </c>
    </row>
    <row r="122" spans="1:9">
      <c r="A122">
        <v>119</v>
      </c>
      <c r="B122" t="str">
        <f ca="1"/>
        <v>Bold Realty</v>
      </c>
      <c r="C122" t="s">
        <v>218</v>
      </c>
      <c r="D122" t="str">
        <f t="shared" ca="1" si="3"/>
        <v>N</v>
      </c>
      <c r="E122" s="36">
        <f t="shared" ca="1" si="4"/>
        <v>43876</v>
      </c>
      <c r="F122" t="s">
        <v>216</v>
      </c>
      <c r="G122" t="s">
        <v>200</v>
      </c>
      <c r="H122" t="s">
        <v>7</v>
      </c>
      <c r="I122" s="45">
        <f t="shared" ca="1" si="5"/>
        <v>86089</v>
      </c>
    </row>
    <row r="123" spans="1:9">
      <c r="A123">
        <v>120</v>
      </c>
      <c r="B123" t="str">
        <f ca="1"/>
        <v>Anchor Group Real Estate</v>
      </c>
      <c r="C123" t="s">
        <v>219</v>
      </c>
      <c r="D123" t="str">
        <f t="shared" ca="1" si="3"/>
        <v>T</v>
      </c>
      <c r="E123" s="36">
        <f t="shared" ca="1" si="4"/>
        <v>43859</v>
      </c>
      <c r="F123" t="s">
        <v>216</v>
      </c>
      <c r="G123" t="s">
        <v>201</v>
      </c>
      <c r="H123" t="s">
        <v>8</v>
      </c>
      <c r="I123" s="45">
        <f t="shared" ca="1" si="5"/>
        <v>77436</v>
      </c>
    </row>
    <row r="124" spans="1:9">
      <c r="A124">
        <v>121</v>
      </c>
      <c r="B124" t="str">
        <f ca="1"/>
        <v>Sterling Property Advisors</v>
      </c>
      <c r="C124" t="s">
        <v>215</v>
      </c>
      <c r="D124" t="str">
        <f t="shared" ca="1" si="3"/>
        <v>B</v>
      </c>
      <c r="E124" s="36">
        <f t="shared" ca="1" si="4"/>
        <v>43901</v>
      </c>
      <c r="F124" t="s">
        <v>216</v>
      </c>
      <c r="G124" t="s">
        <v>189</v>
      </c>
      <c r="H124" t="s">
        <v>7</v>
      </c>
      <c r="I124" s="45">
        <f t="shared" ca="1" si="5"/>
        <v>73147</v>
      </c>
    </row>
    <row r="125" spans="1:9">
      <c r="A125">
        <v>122</v>
      </c>
      <c r="B125" t="str">
        <f ca="1"/>
        <v>Axis Group Real Estate</v>
      </c>
      <c r="C125" t="s">
        <v>217</v>
      </c>
      <c r="D125" t="str">
        <f t="shared" ca="1" si="3"/>
        <v>U</v>
      </c>
      <c r="E125" s="36">
        <f t="shared" ca="1" si="4"/>
        <v>43922</v>
      </c>
      <c r="F125" t="s">
        <v>216</v>
      </c>
      <c r="G125" t="s">
        <v>192</v>
      </c>
      <c r="H125" t="s">
        <v>8</v>
      </c>
      <c r="I125" s="45">
        <f t="shared" ca="1" si="5"/>
        <v>80004</v>
      </c>
    </row>
    <row r="126" spans="1:9">
      <c r="A126">
        <v>123</v>
      </c>
      <c r="B126" t="str">
        <f ca="1"/>
        <v>Haven Group Real Estate</v>
      </c>
      <c r="C126" t="s">
        <v>218</v>
      </c>
      <c r="D126" t="str">
        <f t="shared" ca="1" si="3"/>
        <v>B</v>
      </c>
      <c r="E126" s="36">
        <f t="shared" ca="1" si="4"/>
        <v>43898</v>
      </c>
      <c r="F126" t="s">
        <v>216</v>
      </c>
      <c r="G126" t="s">
        <v>195</v>
      </c>
      <c r="H126" t="s">
        <v>7</v>
      </c>
      <c r="I126" s="45">
        <f t="shared" ca="1" si="5"/>
        <v>89212</v>
      </c>
    </row>
    <row r="127" spans="1:9">
      <c r="A127">
        <v>124</v>
      </c>
      <c r="B127" t="str">
        <f ca="1"/>
        <v>Larkspur Partners Realty</v>
      </c>
      <c r="C127" t="s">
        <v>219</v>
      </c>
      <c r="D127" t="str">
        <f t="shared" ca="1" si="3"/>
        <v>W</v>
      </c>
      <c r="E127" s="36">
        <f t="shared" ca="1" si="4"/>
        <v>43836</v>
      </c>
      <c r="F127" t="s">
        <v>216</v>
      </c>
      <c r="G127" t="s">
        <v>198</v>
      </c>
      <c r="H127" t="s">
        <v>8</v>
      </c>
      <c r="I127" s="45">
        <f t="shared" ca="1" si="5"/>
        <v>95865</v>
      </c>
    </row>
    <row r="128" spans="1:9">
      <c r="A128">
        <v>125</v>
      </c>
      <c r="B128" t="str">
        <f ca="1"/>
        <v>Picket Fence Realty</v>
      </c>
      <c r="C128" t="s">
        <v>215</v>
      </c>
      <c r="D128" t="str">
        <f t="shared" ca="1" si="3"/>
        <v>Y</v>
      </c>
      <c r="E128" s="36">
        <f t="shared" ca="1" si="4"/>
        <v>43913</v>
      </c>
      <c r="F128" t="s">
        <v>216</v>
      </c>
      <c r="G128" t="s">
        <v>200</v>
      </c>
      <c r="H128" t="s">
        <v>7</v>
      </c>
      <c r="I128" s="45">
        <f t="shared" ca="1" si="5"/>
        <v>91720</v>
      </c>
    </row>
    <row r="129" spans="1:9">
      <c r="A129">
        <v>126</v>
      </c>
      <c r="B129" t="str">
        <f ca="1"/>
        <v>Magnolia Group Real Estate</v>
      </c>
      <c r="C129" t="s">
        <v>217</v>
      </c>
      <c r="D129" t="str">
        <f t="shared" ca="1" si="3"/>
        <v>Z</v>
      </c>
      <c r="E129" s="36">
        <f t="shared" ca="1" si="4"/>
        <v>44050</v>
      </c>
      <c r="F129" t="s">
        <v>216</v>
      </c>
      <c r="G129" t="s">
        <v>201</v>
      </c>
      <c r="H129" t="s">
        <v>8</v>
      </c>
      <c r="I129" s="45">
        <f t="shared" ca="1" si="5"/>
        <v>96243</v>
      </c>
    </row>
    <row r="130" spans="1:9">
      <c r="A130">
        <v>127</v>
      </c>
      <c r="B130" t="str">
        <f ca="1"/>
        <v>Carpe Diem Realty</v>
      </c>
      <c r="C130" t="s">
        <v>218</v>
      </c>
      <c r="D130" t="str">
        <f t="shared" ca="1" si="3"/>
        <v>D</v>
      </c>
      <c r="E130" s="36">
        <f t="shared" ca="1" si="4"/>
        <v>44035</v>
      </c>
      <c r="F130" t="s">
        <v>216</v>
      </c>
      <c r="G130" t="s">
        <v>189</v>
      </c>
      <c r="H130" t="s">
        <v>7</v>
      </c>
      <c r="I130" s="45">
        <f t="shared" ca="1" si="5"/>
        <v>73425</v>
      </c>
    </row>
    <row r="131" spans="1:9">
      <c r="A131">
        <v>128</v>
      </c>
      <c r="B131" t="str">
        <f ca="1"/>
        <v>Nestled Real Estate</v>
      </c>
      <c r="C131" t="s">
        <v>219</v>
      </c>
      <c r="D131" t="str">
        <f t="shared" ca="1" si="3"/>
        <v>C</v>
      </c>
      <c r="E131" s="36">
        <f t="shared" ca="1" si="4"/>
        <v>44195</v>
      </c>
      <c r="F131" t="s">
        <v>216</v>
      </c>
      <c r="G131" t="s">
        <v>192</v>
      </c>
      <c r="H131" t="s">
        <v>8</v>
      </c>
      <c r="I131" s="45">
        <f t="shared" ca="1" si="5"/>
        <v>83701</v>
      </c>
    </row>
    <row r="132" spans="1:9">
      <c r="A132">
        <v>129</v>
      </c>
      <c r="B132" t="str">
        <f ca="1"/>
        <v>Cobblestone Realty Partners</v>
      </c>
      <c r="C132" t="s">
        <v>215</v>
      </c>
      <c r="D132" t="str">
        <f t="shared" ca="1" si="3"/>
        <v>H</v>
      </c>
      <c r="E132" s="36">
        <f t="shared" ca="1" si="4"/>
        <v>44144</v>
      </c>
      <c r="F132" t="s">
        <v>216</v>
      </c>
      <c r="G132" t="s">
        <v>195</v>
      </c>
      <c r="H132" t="s">
        <v>7</v>
      </c>
      <c r="I132" s="45">
        <f t="shared" ca="1" si="5"/>
        <v>86833</v>
      </c>
    </row>
    <row r="133" spans="1:9">
      <c r="A133">
        <v>130</v>
      </c>
      <c r="B133" t="str">
        <f ca="1"/>
        <v>Weathervane Group Realty</v>
      </c>
      <c r="C133" t="s">
        <v>217</v>
      </c>
      <c r="D133" t="str">
        <f t="shared" ref="D133:D169" ca="1" si="6">CHAR(RANDBETWEEN(65,90))</f>
        <v>W</v>
      </c>
      <c r="E133" s="36">
        <f t="shared" ref="E133:E169" ca="1" si="7">RANDBETWEEN(DATE(2020,1,1),DATE(2020,12,31))</f>
        <v>43946</v>
      </c>
      <c r="F133" t="s">
        <v>216</v>
      </c>
      <c r="G133" t="s">
        <v>198</v>
      </c>
      <c r="H133" t="s">
        <v>8</v>
      </c>
      <c r="I133" s="45">
        <f t="shared" ref="I133:I169" ca="1" si="8">RANDBETWEEN(70000,100000)</f>
        <v>99058</v>
      </c>
    </row>
    <row r="134" spans="1:9">
      <c r="A134">
        <v>131</v>
      </c>
      <c r="B134" t="str">
        <f ca="1"/>
        <v>Sterling Property Advisors</v>
      </c>
      <c r="C134" t="s">
        <v>218</v>
      </c>
      <c r="D134" t="str">
        <f t="shared" ca="1" si="6"/>
        <v>W</v>
      </c>
      <c r="E134" s="36">
        <f t="shared" ca="1" si="7"/>
        <v>44064</v>
      </c>
      <c r="F134" t="s">
        <v>216</v>
      </c>
      <c r="G134" t="s">
        <v>200</v>
      </c>
      <c r="H134" t="s">
        <v>7</v>
      </c>
      <c r="I134" s="45">
        <f t="shared" ca="1" si="8"/>
        <v>81855</v>
      </c>
    </row>
    <row r="135" spans="1:9">
      <c r="A135">
        <v>132</v>
      </c>
      <c r="B135" t="str">
        <f ca="1"/>
        <v>Agile Real Estate Group</v>
      </c>
      <c r="C135" t="s">
        <v>219</v>
      </c>
      <c r="D135" t="str">
        <f t="shared" ca="1" si="6"/>
        <v>G</v>
      </c>
      <c r="E135" s="36">
        <f t="shared" ca="1" si="7"/>
        <v>43909</v>
      </c>
      <c r="F135" t="s">
        <v>216</v>
      </c>
      <c r="G135" t="s">
        <v>201</v>
      </c>
      <c r="H135" t="s">
        <v>8</v>
      </c>
      <c r="I135" s="45">
        <f t="shared" ca="1" si="8"/>
        <v>96376</v>
      </c>
    </row>
    <row r="136" spans="1:9">
      <c r="A136">
        <v>133</v>
      </c>
      <c r="B136" t="str">
        <f ca="1"/>
        <v>Keystone Group Real Estate</v>
      </c>
      <c r="C136" t="s">
        <v>215</v>
      </c>
      <c r="D136" t="str">
        <f t="shared" ca="1" si="6"/>
        <v>S</v>
      </c>
      <c r="E136" s="36">
        <f t="shared" ca="1" si="7"/>
        <v>43934</v>
      </c>
      <c r="F136" t="s">
        <v>216</v>
      </c>
      <c r="G136" t="s">
        <v>189</v>
      </c>
      <c r="H136" t="s">
        <v>7</v>
      </c>
      <c r="I136" s="45">
        <f t="shared" ca="1" si="8"/>
        <v>73474</v>
      </c>
    </row>
    <row r="137" spans="1:9">
      <c r="A137">
        <v>134</v>
      </c>
      <c r="B137" t="str">
        <f ca="1"/>
        <v>Champion Real Estate Advisors</v>
      </c>
      <c r="C137" t="s">
        <v>217</v>
      </c>
      <c r="D137" t="str">
        <f t="shared" ca="1" si="6"/>
        <v>G</v>
      </c>
      <c r="E137" s="36">
        <f t="shared" ca="1" si="7"/>
        <v>44196</v>
      </c>
      <c r="F137" t="s">
        <v>216</v>
      </c>
      <c r="G137" t="s">
        <v>192</v>
      </c>
      <c r="H137" t="s">
        <v>8</v>
      </c>
      <c r="I137" s="45">
        <f t="shared" ca="1" si="8"/>
        <v>71588</v>
      </c>
    </row>
    <row r="138" spans="1:9">
      <c r="A138">
        <v>135</v>
      </c>
      <c r="B138" t="str">
        <f ca="1"/>
        <v>Platinum Property Advisors</v>
      </c>
      <c r="C138" t="s">
        <v>218</v>
      </c>
      <c r="D138" t="str">
        <f t="shared" ca="1" si="6"/>
        <v>Y</v>
      </c>
      <c r="E138" s="36">
        <f t="shared" ca="1" si="7"/>
        <v>44086</v>
      </c>
      <c r="F138" t="s">
        <v>216</v>
      </c>
      <c r="G138" t="s">
        <v>195</v>
      </c>
      <c r="H138" t="s">
        <v>7</v>
      </c>
      <c r="I138" s="45">
        <f t="shared" ca="1" si="8"/>
        <v>98434</v>
      </c>
    </row>
    <row r="139" spans="1:9">
      <c r="A139">
        <v>136</v>
      </c>
      <c r="B139" t="str">
        <f ca="1"/>
        <v>Golden Meadows Property Group</v>
      </c>
      <c r="C139" t="s">
        <v>219</v>
      </c>
      <c r="D139" t="str">
        <f t="shared" ca="1" si="6"/>
        <v>H</v>
      </c>
      <c r="E139" s="36">
        <f t="shared" ca="1" si="7"/>
        <v>43963</v>
      </c>
      <c r="F139" t="s">
        <v>216</v>
      </c>
      <c r="G139" t="s">
        <v>198</v>
      </c>
      <c r="H139" t="s">
        <v>8</v>
      </c>
      <c r="I139" s="45">
        <f t="shared" ca="1" si="8"/>
        <v>75887</v>
      </c>
    </row>
    <row r="140" spans="1:9">
      <c r="A140">
        <v>137</v>
      </c>
      <c r="B140" t="str">
        <f ca="1"/>
        <v>Driggs Realty</v>
      </c>
      <c r="C140" t="s">
        <v>215</v>
      </c>
      <c r="D140" t="str">
        <f t="shared" ca="1" si="6"/>
        <v>K</v>
      </c>
      <c r="E140" s="36">
        <f t="shared" ca="1" si="7"/>
        <v>43902</v>
      </c>
      <c r="F140" t="s">
        <v>216</v>
      </c>
      <c r="G140" t="s">
        <v>200</v>
      </c>
      <c r="H140" t="s">
        <v>7</v>
      </c>
      <c r="I140" s="45">
        <f t="shared" ca="1" si="8"/>
        <v>83289</v>
      </c>
    </row>
    <row r="141" spans="1:9">
      <c r="A141">
        <v>138</v>
      </c>
      <c r="B141" t="str">
        <f ca="1"/>
        <v>Brick Lane Realty</v>
      </c>
      <c r="C141" t="s">
        <v>217</v>
      </c>
      <c r="D141" t="str">
        <f t="shared" ca="1" si="6"/>
        <v>H</v>
      </c>
      <c r="E141" s="36">
        <f t="shared" ca="1" si="7"/>
        <v>44191</v>
      </c>
      <c r="F141" t="s">
        <v>216</v>
      </c>
      <c r="G141" t="s">
        <v>201</v>
      </c>
      <c r="H141" t="s">
        <v>8</v>
      </c>
      <c r="I141" s="45">
        <f t="shared" ca="1" si="8"/>
        <v>95557</v>
      </c>
    </row>
    <row r="142" spans="1:9">
      <c r="A142">
        <v>139</v>
      </c>
      <c r="B142" t="str">
        <f ca="1"/>
        <v>Forward Real Estate Advisors</v>
      </c>
      <c r="C142" t="s">
        <v>218</v>
      </c>
      <c r="D142" t="str">
        <f t="shared" ca="1" si="6"/>
        <v>C</v>
      </c>
      <c r="E142" s="36">
        <f t="shared" ca="1" si="7"/>
        <v>43917</v>
      </c>
      <c r="F142" t="s">
        <v>216</v>
      </c>
      <c r="G142" t="s">
        <v>189</v>
      </c>
      <c r="H142" t="s">
        <v>7</v>
      </c>
      <c r="I142" s="45">
        <f t="shared" ca="1" si="8"/>
        <v>71574</v>
      </c>
    </row>
    <row r="143" spans="1:9">
      <c r="A143">
        <v>140</v>
      </c>
      <c r="B143" t="str">
        <f ca="1"/>
        <v>Home &amp; Hearth Realty</v>
      </c>
      <c r="C143" t="s">
        <v>219</v>
      </c>
      <c r="D143" t="str">
        <f t="shared" ca="1" si="6"/>
        <v>T</v>
      </c>
      <c r="E143" s="36">
        <f t="shared" ca="1" si="7"/>
        <v>43903</v>
      </c>
      <c r="F143" t="s">
        <v>216</v>
      </c>
      <c r="G143" t="s">
        <v>192</v>
      </c>
      <c r="H143" t="s">
        <v>8</v>
      </c>
      <c r="I143" s="45">
        <f t="shared" ca="1" si="8"/>
        <v>83745</v>
      </c>
    </row>
    <row r="144" spans="1:9">
      <c r="A144">
        <v>141</v>
      </c>
      <c r="B144" t="str">
        <f ca="1"/>
        <v>Landmark Realty Group</v>
      </c>
      <c r="C144" t="s">
        <v>215</v>
      </c>
      <c r="D144" t="str">
        <f t="shared" ca="1" si="6"/>
        <v>P</v>
      </c>
      <c r="E144" s="36">
        <f t="shared" ca="1" si="7"/>
        <v>44008</v>
      </c>
      <c r="F144" t="s">
        <v>216</v>
      </c>
      <c r="G144" t="s">
        <v>195</v>
      </c>
      <c r="H144" t="s">
        <v>7</v>
      </c>
      <c r="I144" s="45">
        <f t="shared" ca="1" si="8"/>
        <v>73984</v>
      </c>
    </row>
    <row r="145" spans="1:9">
      <c r="A145">
        <v>142</v>
      </c>
      <c r="B145" t="str">
        <f ca="1"/>
        <v>Golden Meadows Property Group</v>
      </c>
      <c r="C145" t="s">
        <v>217</v>
      </c>
      <c r="D145" t="str">
        <f t="shared" ca="1" si="6"/>
        <v>O</v>
      </c>
      <c r="E145" s="36">
        <f t="shared" ca="1" si="7"/>
        <v>44141</v>
      </c>
      <c r="F145" t="s">
        <v>216</v>
      </c>
      <c r="G145" t="s">
        <v>198</v>
      </c>
      <c r="H145" t="s">
        <v>8</v>
      </c>
      <c r="I145" s="45">
        <f t="shared" ca="1" si="8"/>
        <v>86242</v>
      </c>
    </row>
    <row r="146" spans="1:9">
      <c r="A146">
        <v>143</v>
      </c>
      <c r="B146" t="str">
        <f ca="1"/>
        <v>Picket Fence Realty</v>
      </c>
      <c r="C146" t="s">
        <v>218</v>
      </c>
      <c r="D146" t="str">
        <f t="shared" ca="1" si="6"/>
        <v>V</v>
      </c>
      <c r="E146" s="36">
        <f t="shared" ca="1" si="7"/>
        <v>44126</v>
      </c>
      <c r="F146" t="s">
        <v>216</v>
      </c>
      <c r="G146" t="s">
        <v>200</v>
      </c>
      <c r="H146" t="s">
        <v>7</v>
      </c>
      <c r="I146" s="45">
        <f t="shared" ca="1" si="8"/>
        <v>80339</v>
      </c>
    </row>
    <row r="147" spans="1:9">
      <c r="A147">
        <v>144</v>
      </c>
      <c r="B147" t="str">
        <f ca="1"/>
        <v>Banyan Tree Realty</v>
      </c>
      <c r="C147" t="s">
        <v>219</v>
      </c>
      <c r="D147" t="str">
        <f t="shared" ca="1" si="6"/>
        <v>E</v>
      </c>
      <c r="E147" s="36">
        <f t="shared" ca="1" si="7"/>
        <v>43936</v>
      </c>
      <c r="F147" t="s">
        <v>216</v>
      </c>
      <c r="G147" t="s">
        <v>201</v>
      </c>
      <c r="H147" t="s">
        <v>8</v>
      </c>
      <c r="I147" s="45">
        <f t="shared" ca="1" si="8"/>
        <v>74304</v>
      </c>
    </row>
    <row r="148" spans="1:9">
      <c r="A148">
        <v>145</v>
      </c>
      <c r="B148" t="str">
        <f ca="1"/>
        <v>Herringbone Realty</v>
      </c>
      <c r="C148" t="s">
        <v>215</v>
      </c>
      <c r="D148" t="str">
        <f t="shared" ca="1" si="6"/>
        <v>T</v>
      </c>
      <c r="E148" s="36">
        <f t="shared" ca="1" si="7"/>
        <v>43920</v>
      </c>
      <c r="F148" t="s">
        <v>216</v>
      </c>
      <c r="G148" t="s">
        <v>189</v>
      </c>
      <c r="H148" t="s">
        <v>7</v>
      </c>
      <c r="I148" s="45">
        <f t="shared" ca="1" si="8"/>
        <v>77286</v>
      </c>
    </row>
    <row r="149" spans="1:9">
      <c r="A149">
        <v>146</v>
      </c>
      <c r="B149" t="str">
        <f ca="1"/>
        <v>Fortune Team</v>
      </c>
      <c r="C149" t="s">
        <v>217</v>
      </c>
      <c r="D149" t="str">
        <f t="shared" ca="1" si="6"/>
        <v>H</v>
      </c>
      <c r="E149" s="36">
        <f t="shared" ca="1" si="7"/>
        <v>44075</v>
      </c>
      <c r="F149" t="s">
        <v>216</v>
      </c>
      <c r="G149" t="s">
        <v>192</v>
      </c>
      <c r="H149" t="s">
        <v>8</v>
      </c>
      <c r="I149" s="45">
        <f t="shared" ca="1" si="8"/>
        <v>81295</v>
      </c>
    </row>
    <row r="150" spans="1:9">
      <c r="A150">
        <v>147</v>
      </c>
      <c r="B150" t="str">
        <f ca="1"/>
        <v>Strive Partners Realty</v>
      </c>
      <c r="C150" t="s">
        <v>218</v>
      </c>
      <c r="D150" t="str">
        <f t="shared" ca="1" si="6"/>
        <v>F</v>
      </c>
      <c r="E150" s="36">
        <f t="shared" ca="1" si="7"/>
        <v>43900</v>
      </c>
      <c r="F150" t="s">
        <v>216</v>
      </c>
      <c r="G150" t="s">
        <v>195</v>
      </c>
      <c r="H150" t="s">
        <v>7</v>
      </c>
      <c r="I150" s="45">
        <f t="shared" ca="1" si="8"/>
        <v>91184</v>
      </c>
    </row>
    <row r="151" spans="1:9">
      <c r="A151">
        <v>148</v>
      </c>
      <c r="B151" t="str">
        <f ca="1"/>
        <v>Black Oak Realty</v>
      </c>
      <c r="C151" t="s">
        <v>219</v>
      </c>
      <c r="D151" t="str">
        <f t="shared" ca="1" si="6"/>
        <v>Z</v>
      </c>
      <c r="E151" s="36">
        <f t="shared" ca="1" si="7"/>
        <v>44069</v>
      </c>
      <c r="F151" t="s">
        <v>216</v>
      </c>
      <c r="G151" t="s">
        <v>198</v>
      </c>
      <c r="H151" t="s">
        <v>8</v>
      </c>
      <c r="I151" s="45">
        <f t="shared" ca="1" si="8"/>
        <v>78826</v>
      </c>
    </row>
    <row r="152" spans="1:9">
      <c r="A152">
        <v>149</v>
      </c>
      <c r="B152" t="str">
        <f ca="1"/>
        <v>Carpe Diem Realty</v>
      </c>
      <c r="C152" t="s">
        <v>215</v>
      </c>
      <c r="D152" t="str">
        <f t="shared" ca="1" si="6"/>
        <v>A</v>
      </c>
      <c r="E152" s="36">
        <f t="shared" ca="1" si="7"/>
        <v>44093</v>
      </c>
      <c r="F152" t="s">
        <v>216</v>
      </c>
      <c r="G152" t="s">
        <v>200</v>
      </c>
      <c r="H152" t="s">
        <v>7</v>
      </c>
      <c r="I152" s="45">
        <f t="shared" ca="1" si="8"/>
        <v>82225</v>
      </c>
    </row>
    <row r="153" spans="1:9">
      <c r="A153">
        <v>150</v>
      </c>
      <c r="B153" t="str">
        <f ca="1"/>
        <v>Shipwright Realty</v>
      </c>
      <c r="C153" t="s">
        <v>217</v>
      </c>
      <c r="D153" t="str">
        <f t="shared" ca="1" si="6"/>
        <v>C</v>
      </c>
      <c r="E153" s="36">
        <f t="shared" ca="1" si="7"/>
        <v>43988</v>
      </c>
      <c r="F153" t="s">
        <v>216</v>
      </c>
      <c r="G153" t="s">
        <v>201</v>
      </c>
      <c r="H153" t="s">
        <v>8</v>
      </c>
      <c r="I153" s="45">
        <f t="shared" ca="1" si="8"/>
        <v>99968</v>
      </c>
    </row>
    <row r="154" spans="1:9">
      <c r="A154">
        <v>151</v>
      </c>
      <c r="B154" t="str">
        <f ca="1"/>
        <v>Apogee Property Advisors</v>
      </c>
      <c r="C154" t="s">
        <v>218</v>
      </c>
      <c r="D154" t="str">
        <f t="shared" ca="1" si="6"/>
        <v>A</v>
      </c>
      <c r="E154" s="36">
        <f t="shared" ca="1" si="7"/>
        <v>43928</v>
      </c>
      <c r="F154" t="s">
        <v>216</v>
      </c>
      <c r="G154" t="s">
        <v>189</v>
      </c>
      <c r="H154" t="s">
        <v>7</v>
      </c>
      <c r="I154" s="45">
        <f t="shared" ca="1" si="8"/>
        <v>95537</v>
      </c>
    </row>
    <row r="155" spans="1:9">
      <c r="A155">
        <v>152</v>
      </c>
      <c r="B155" t="str">
        <f ca="1"/>
        <v>Home &amp; Hearth Realty</v>
      </c>
      <c r="C155" t="s">
        <v>219</v>
      </c>
      <c r="D155" t="str">
        <f t="shared" ca="1" si="6"/>
        <v>Z</v>
      </c>
      <c r="E155" s="36">
        <f t="shared" ca="1" si="7"/>
        <v>44085</v>
      </c>
      <c r="F155" t="s">
        <v>216</v>
      </c>
      <c r="G155" t="s">
        <v>192</v>
      </c>
      <c r="H155" t="s">
        <v>8</v>
      </c>
      <c r="I155" s="45">
        <f t="shared" ca="1" si="8"/>
        <v>79274</v>
      </c>
    </row>
    <row r="156" spans="1:9">
      <c r="A156">
        <v>153</v>
      </c>
      <c r="B156" t="str">
        <f ca="1"/>
        <v>Pagoda Partners Realty</v>
      </c>
      <c r="C156" t="s">
        <v>215</v>
      </c>
      <c r="D156" t="str">
        <f t="shared" ca="1" si="6"/>
        <v>Z</v>
      </c>
      <c r="E156" s="36">
        <f t="shared" ca="1" si="7"/>
        <v>43962</v>
      </c>
      <c r="F156" t="s">
        <v>216</v>
      </c>
      <c r="G156" t="s">
        <v>195</v>
      </c>
      <c r="H156" t="s">
        <v>7</v>
      </c>
      <c r="I156" s="45">
        <f t="shared" ca="1" si="8"/>
        <v>85918</v>
      </c>
    </row>
    <row r="157" spans="1:9">
      <c r="A157">
        <v>154</v>
      </c>
      <c r="B157" t="str">
        <f ca="1"/>
        <v>Red Coral Realty</v>
      </c>
      <c r="C157" t="s">
        <v>217</v>
      </c>
      <c r="D157" t="str">
        <f t="shared" ca="1" si="6"/>
        <v>E</v>
      </c>
      <c r="E157" s="36">
        <f t="shared" ca="1" si="7"/>
        <v>44130</v>
      </c>
      <c r="F157" t="s">
        <v>216</v>
      </c>
      <c r="G157" t="s">
        <v>198</v>
      </c>
      <c r="H157" t="s">
        <v>8</v>
      </c>
      <c r="I157" s="45">
        <f t="shared" ca="1" si="8"/>
        <v>72948</v>
      </c>
    </row>
    <row r="158" spans="1:9">
      <c r="A158">
        <v>155</v>
      </c>
      <c r="B158" t="str">
        <f ca="1"/>
        <v>Apogee Property Advisors</v>
      </c>
      <c r="C158" t="s">
        <v>218</v>
      </c>
      <c r="D158" t="str">
        <f t="shared" ca="1" si="6"/>
        <v>M</v>
      </c>
      <c r="E158" s="36">
        <f t="shared" ca="1" si="7"/>
        <v>43894</v>
      </c>
      <c r="F158" t="s">
        <v>216</v>
      </c>
      <c r="G158" t="s">
        <v>200</v>
      </c>
      <c r="H158" t="s">
        <v>7</v>
      </c>
      <c r="I158" s="45">
        <f t="shared" ca="1" si="8"/>
        <v>97236</v>
      </c>
    </row>
    <row r="159" spans="1:9">
      <c r="A159">
        <v>156</v>
      </c>
      <c r="B159" t="str">
        <f ca="1"/>
        <v>Apogee Property Advisors</v>
      </c>
      <c r="C159" t="s">
        <v>219</v>
      </c>
      <c r="D159" t="str">
        <f t="shared" ca="1" si="6"/>
        <v>J</v>
      </c>
      <c r="E159" s="36">
        <f t="shared" ca="1" si="7"/>
        <v>43974</v>
      </c>
      <c r="F159" t="s">
        <v>216</v>
      </c>
      <c r="G159" t="s">
        <v>201</v>
      </c>
      <c r="H159" t="s">
        <v>8</v>
      </c>
      <c r="I159" s="45">
        <f t="shared" ca="1" si="8"/>
        <v>83013</v>
      </c>
    </row>
    <row r="160" spans="1:9">
      <c r="A160">
        <v>157</v>
      </c>
      <c r="B160" t="str">
        <f ca="1"/>
        <v>Landmark Realty Group</v>
      </c>
      <c r="C160" t="s">
        <v>215</v>
      </c>
      <c r="D160" t="str">
        <f t="shared" ca="1" si="6"/>
        <v>Y</v>
      </c>
      <c r="E160" s="36">
        <f t="shared" ca="1" si="7"/>
        <v>44018</v>
      </c>
      <c r="F160" t="s">
        <v>216</v>
      </c>
      <c r="G160" t="s">
        <v>189</v>
      </c>
      <c r="H160" t="s">
        <v>7</v>
      </c>
      <c r="I160" s="45">
        <f t="shared" ca="1" si="8"/>
        <v>86663</v>
      </c>
    </row>
    <row r="161" spans="1:9">
      <c r="A161">
        <v>158</v>
      </c>
      <c r="B161" t="str">
        <f ca="1"/>
        <v>Corsair Real Estate</v>
      </c>
      <c r="C161" t="s">
        <v>217</v>
      </c>
      <c r="D161" t="str">
        <f t="shared" ca="1" si="6"/>
        <v>K</v>
      </c>
      <c r="E161" s="36">
        <f t="shared" ca="1" si="7"/>
        <v>44131</v>
      </c>
      <c r="F161" t="s">
        <v>216</v>
      </c>
      <c r="G161" t="s">
        <v>192</v>
      </c>
      <c r="H161" t="s">
        <v>8</v>
      </c>
      <c r="I161" s="45">
        <f t="shared" ca="1" si="8"/>
        <v>99575</v>
      </c>
    </row>
    <row r="162" spans="1:9">
      <c r="A162">
        <v>159</v>
      </c>
      <c r="B162" t="str">
        <f ca="1"/>
        <v>Olive Tree Realty</v>
      </c>
      <c r="C162" t="s">
        <v>218</v>
      </c>
      <c r="D162" t="str">
        <f t="shared" ca="1" si="6"/>
        <v>N</v>
      </c>
      <c r="E162" s="36">
        <f t="shared" ca="1" si="7"/>
        <v>43839</v>
      </c>
      <c r="F162" t="s">
        <v>216</v>
      </c>
      <c r="G162" t="s">
        <v>195</v>
      </c>
      <c r="H162" t="s">
        <v>7</v>
      </c>
      <c r="I162" s="45">
        <f t="shared" ca="1" si="8"/>
        <v>94330</v>
      </c>
    </row>
    <row r="163" spans="1:9">
      <c r="A163">
        <v>160</v>
      </c>
      <c r="B163" t="str">
        <f ca="1"/>
        <v>Stellar Property Advisors</v>
      </c>
      <c r="C163" t="s">
        <v>219</v>
      </c>
      <c r="D163" t="str">
        <f t="shared" ca="1" si="6"/>
        <v>L</v>
      </c>
      <c r="E163" s="36">
        <f t="shared" ca="1" si="7"/>
        <v>44010</v>
      </c>
      <c r="F163" t="s">
        <v>216</v>
      </c>
      <c r="G163" t="s">
        <v>198</v>
      </c>
      <c r="H163" t="s">
        <v>8</v>
      </c>
      <c r="I163" s="45">
        <f t="shared" ca="1" si="8"/>
        <v>92964</v>
      </c>
    </row>
    <row r="164" spans="1:9">
      <c r="A164">
        <v>161</v>
      </c>
      <c r="B164" t="str">
        <f ca="1"/>
        <v>Agile Real Estate Group</v>
      </c>
      <c r="C164" t="s">
        <v>215</v>
      </c>
      <c r="D164" t="str">
        <f t="shared" ca="1" si="6"/>
        <v>L</v>
      </c>
      <c r="E164" s="36">
        <f t="shared" ca="1" si="7"/>
        <v>44032</v>
      </c>
      <c r="F164" t="s">
        <v>216</v>
      </c>
      <c r="G164" t="s">
        <v>200</v>
      </c>
      <c r="H164" t="s">
        <v>7</v>
      </c>
      <c r="I164" s="45">
        <f t="shared" ca="1" si="8"/>
        <v>74192</v>
      </c>
    </row>
    <row r="165" spans="1:9">
      <c r="A165">
        <v>162</v>
      </c>
      <c r="B165" t="str">
        <f ca="1"/>
        <v>Cobblestone Realty Partners</v>
      </c>
      <c r="C165" t="s">
        <v>217</v>
      </c>
      <c r="D165" t="str">
        <f t="shared" ca="1" si="6"/>
        <v>H</v>
      </c>
      <c r="E165" s="36">
        <f t="shared" ca="1" si="7"/>
        <v>44112</v>
      </c>
      <c r="F165" t="s">
        <v>216</v>
      </c>
      <c r="G165" t="s">
        <v>201</v>
      </c>
      <c r="H165" t="s">
        <v>8</v>
      </c>
      <c r="I165" s="45">
        <f t="shared" ca="1" si="8"/>
        <v>90507</v>
      </c>
    </row>
    <row r="166" spans="1:9">
      <c r="A166">
        <v>163</v>
      </c>
      <c r="B166" t="str">
        <f ca="1"/>
        <v>Adobe Property Advisors</v>
      </c>
      <c r="C166" t="s">
        <v>218</v>
      </c>
      <c r="D166" t="str">
        <f t="shared" ca="1" si="6"/>
        <v>Q</v>
      </c>
      <c r="E166" s="36">
        <f t="shared" ca="1" si="7"/>
        <v>44141</v>
      </c>
      <c r="F166" t="s">
        <v>216</v>
      </c>
      <c r="G166" t="s">
        <v>189</v>
      </c>
      <c r="H166" t="s">
        <v>7</v>
      </c>
      <c r="I166" s="45">
        <f t="shared" ca="1" si="8"/>
        <v>79302</v>
      </c>
    </row>
    <row r="167" spans="1:9">
      <c r="A167">
        <v>164</v>
      </c>
      <c r="B167" t="str">
        <f ca="1"/>
        <v>Pagoda Partners Realty</v>
      </c>
      <c r="C167" t="s">
        <v>219</v>
      </c>
      <c r="D167" t="str">
        <f t="shared" ca="1" si="6"/>
        <v>A</v>
      </c>
      <c r="E167" s="36">
        <f t="shared" ca="1" si="7"/>
        <v>43928</v>
      </c>
      <c r="F167" t="s">
        <v>216</v>
      </c>
      <c r="G167" t="s">
        <v>192</v>
      </c>
      <c r="H167" t="s">
        <v>8</v>
      </c>
      <c r="I167" s="45">
        <f t="shared" ca="1" si="8"/>
        <v>80214</v>
      </c>
    </row>
    <row r="168" spans="1:9">
      <c r="A168">
        <v>165</v>
      </c>
      <c r="B168" t="str">
        <f ca="1"/>
        <v>Golden Meadows Property Group</v>
      </c>
      <c r="C168" t="s">
        <v>215</v>
      </c>
      <c r="D168" t="str">
        <f t="shared" ca="1" si="6"/>
        <v>D</v>
      </c>
      <c r="E168" s="36">
        <f t="shared" ca="1" si="7"/>
        <v>44140</v>
      </c>
      <c r="F168" t="s">
        <v>216</v>
      </c>
      <c r="G168" t="s">
        <v>195</v>
      </c>
      <c r="H168" t="s">
        <v>7</v>
      </c>
      <c r="I168" s="45">
        <f t="shared" ca="1" si="8"/>
        <v>77627</v>
      </c>
    </row>
    <row r="169" spans="1:9">
      <c r="A169">
        <v>166</v>
      </c>
      <c r="B169" t="str">
        <f ca="1"/>
        <v>Red Coral Realty</v>
      </c>
      <c r="C169" t="s">
        <v>217</v>
      </c>
      <c r="D169" t="str">
        <f t="shared" ca="1" si="6"/>
        <v>A</v>
      </c>
      <c r="E169" s="36">
        <f t="shared" ca="1" si="7"/>
        <v>44169</v>
      </c>
      <c r="F169" t="s">
        <v>216</v>
      </c>
      <c r="G169" t="s">
        <v>198</v>
      </c>
      <c r="H169" t="s">
        <v>8</v>
      </c>
      <c r="I169" s="45">
        <f t="shared" ca="1" si="8"/>
        <v>90207</v>
      </c>
    </row>
  </sheetData>
  <mergeCells count="1">
    <mergeCell ref="A2:I2"/>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E07533-0CC8-4F59-A35B-2F9FDA52367D}">
  <sheetPr codeName="AlertsDB"/>
  <dimension ref="A1:E105"/>
  <sheetViews>
    <sheetView zoomScale="90" zoomScaleNormal="90" workbookViewId="0">
      <pane ySplit="3" topLeftCell="I18" activePane="bottomLeft" state="frozen"/>
      <selection pane="bottomLeft" activeCell="I18" sqref="I18"/>
    </sheetView>
  </sheetViews>
  <sheetFormatPr defaultRowHeight="17.25"/>
  <cols>
    <col min="2" max="2" width="29" customWidth="1"/>
    <col min="3" max="3" width="28.375" customWidth="1"/>
    <col min="4" max="4" width="8.375" customWidth="1"/>
    <col min="5" max="5" width="12.375" customWidth="1"/>
  </cols>
  <sheetData>
    <row r="1" spans="1:5">
      <c r="A1" s="18" t="s">
        <v>203</v>
      </c>
      <c r="B1" s="18" t="s">
        <v>71</v>
      </c>
      <c r="C1" s="18" t="s">
        <v>72</v>
      </c>
      <c r="D1" s="18" t="s">
        <v>205</v>
      </c>
      <c r="E1" s="18" t="s">
        <v>206</v>
      </c>
    </row>
    <row r="2" spans="1:5" ht="23.25" customHeight="1">
      <c r="A2" s="99" t="s">
        <v>220</v>
      </c>
      <c r="B2" s="99"/>
      <c r="C2" s="99"/>
      <c r="D2" s="99"/>
      <c r="E2" s="99"/>
    </row>
    <row r="3" spans="1:5">
      <c r="A3" s="18" t="s">
        <v>64</v>
      </c>
      <c r="B3" s="18" t="s">
        <v>82</v>
      </c>
      <c r="C3" s="18" t="s">
        <v>58</v>
      </c>
      <c r="D3" s="18" t="s">
        <v>67</v>
      </c>
      <c r="E3" s="18" t="s">
        <v>221</v>
      </c>
    </row>
    <row r="4" spans="1:5">
      <c r="A4">
        <v>1</v>
      </c>
      <c r="B4" s="46" t="s">
        <v>222</v>
      </c>
      <c r="C4" s="47">
        <f ca="1">RANDBETWEEN(DATE(2020,1,1),DATE(2022,1,1))</f>
        <v>44119</v>
      </c>
      <c r="D4" s="48" t="str">
        <f ca="1">TEXT(RAND(),"HH:MM:SS")</f>
        <v>07:50:44</v>
      </c>
      <c r="E4" t="s">
        <v>223</v>
      </c>
    </row>
    <row r="5" spans="1:5">
      <c r="A5">
        <v>2</v>
      </c>
      <c r="B5" s="38" t="s">
        <v>224</v>
      </c>
      <c r="C5" s="47">
        <f t="shared" ref="C5:C68" ca="1" si="0">RANDBETWEEN(DATE(2020,1,1),DATE(2022,1,1))</f>
        <v>44104</v>
      </c>
      <c r="D5" s="48" t="str">
        <f t="shared" ref="D5:D68" ca="1" si="1">TEXT(RAND(),"HH:MM:SS")</f>
        <v>16:10:55</v>
      </c>
      <c r="E5" t="s">
        <v>225</v>
      </c>
    </row>
    <row r="6" spans="1:5">
      <c r="A6">
        <v>3</v>
      </c>
      <c r="B6" s="38" t="s">
        <v>226</v>
      </c>
      <c r="C6" s="47">
        <f t="shared" ca="1" si="0"/>
        <v>44165</v>
      </c>
      <c r="D6" s="48" t="str">
        <f t="shared" ca="1" si="1"/>
        <v>23:21:08</v>
      </c>
      <c r="E6" t="s">
        <v>227</v>
      </c>
    </row>
    <row r="7" spans="1:5">
      <c r="A7">
        <v>4</v>
      </c>
      <c r="B7" s="38" t="s">
        <v>228</v>
      </c>
      <c r="C7" s="47">
        <f t="shared" ca="1" si="0"/>
        <v>44138</v>
      </c>
      <c r="D7" s="48" t="str">
        <f t="shared" ca="1" si="1"/>
        <v>18:26:05</v>
      </c>
      <c r="E7" t="s">
        <v>223</v>
      </c>
    </row>
    <row r="8" spans="1:5">
      <c r="A8">
        <v>5</v>
      </c>
      <c r="B8" s="46" t="s">
        <v>222</v>
      </c>
      <c r="C8" s="47">
        <f t="shared" ca="1" si="0"/>
        <v>43950</v>
      </c>
      <c r="D8" s="48" t="str">
        <f t="shared" ca="1" si="1"/>
        <v>12:19:17</v>
      </c>
      <c r="E8" t="s">
        <v>225</v>
      </c>
    </row>
    <row r="9" spans="1:5">
      <c r="A9">
        <v>6</v>
      </c>
      <c r="B9" s="38" t="s">
        <v>224</v>
      </c>
      <c r="C9" s="47">
        <f t="shared" ca="1" si="0"/>
        <v>44557</v>
      </c>
      <c r="D9" s="48" t="str">
        <f t="shared" ca="1" si="1"/>
        <v>20:22:57</v>
      </c>
      <c r="E9" t="s">
        <v>227</v>
      </c>
    </row>
    <row r="10" spans="1:5">
      <c r="A10">
        <v>7</v>
      </c>
      <c r="B10" s="38" t="s">
        <v>226</v>
      </c>
      <c r="C10" s="47">
        <f t="shared" ca="1" si="0"/>
        <v>44549</v>
      </c>
      <c r="D10" s="48" t="str">
        <f t="shared" ca="1" si="1"/>
        <v>09:24:50</v>
      </c>
      <c r="E10" t="s">
        <v>223</v>
      </c>
    </row>
    <row r="11" spans="1:5">
      <c r="A11">
        <v>8</v>
      </c>
      <c r="B11" s="38" t="s">
        <v>228</v>
      </c>
      <c r="C11" s="47">
        <f t="shared" ca="1" si="0"/>
        <v>44387</v>
      </c>
      <c r="D11" s="48" t="str">
        <f t="shared" ca="1" si="1"/>
        <v>12:38:26</v>
      </c>
      <c r="E11" t="s">
        <v>225</v>
      </c>
    </row>
    <row r="12" spans="1:5">
      <c r="A12">
        <v>9</v>
      </c>
      <c r="B12" s="46" t="s">
        <v>222</v>
      </c>
      <c r="C12" s="47">
        <f t="shared" ca="1" si="0"/>
        <v>44443</v>
      </c>
      <c r="D12" s="48" t="str">
        <f t="shared" ca="1" si="1"/>
        <v>12:39:55</v>
      </c>
      <c r="E12" t="s">
        <v>227</v>
      </c>
    </row>
    <row r="13" spans="1:5">
      <c r="A13">
        <v>10</v>
      </c>
      <c r="B13" s="38" t="s">
        <v>224</v>
      </c>
      <c r="C13" s="47">
        <f t="shared" ca="1" si="0"/>
        <v>44179</v>
      </c>
      <c r="D13" s="48" t="str">
        <f t="shared" ca="1" si="1"/>
        <v>03:32:42</v>
      </c>
      <c r="E13" t="s">
        <v>223</v>
      </c>
    </row>
    <row r="14" spans="1:5">
      <c r="A14">
        <v>11</v>
      </c>
      <c r="B14" s="38" t="s">
        <v>226</v>
      </c>
      <c r="C14" s="47">
        <f t="shared" ca="1" si="0"/>
        <v>44398</v>
      </c>
      <c r="D14" s="48" t="str">
        <f t="shared" ca="1" si="1"/>
        <v>02:06:31</v>
      </c>
      <c r="E14" t="s">
        <v>225</v>
      </c>
    </row>
    <row r="15" spans="1:5">
      <c r="A15">
        <v>12</v>
      </c>
      <c r="B15" s="38" t="s">
        <v>228</v>
      </c>
      <c r="C15" s="47">
        <f t="shared" ca="1" si="0"/>
        <v>44402</v>
      </c>
      <c r="D15" s="48" t="str">
        <f t="shared" ca="1" si="1"/>
        <v>17:31:27</v>
      </c>
      <c r="E15" t="s">
        <v>227</v>
      </c>
    </row>
    <row r="16" spans="1:5">
      <c r="A16">
        <v>13</v>
      </c>
      <c r="B16" s="46" t="s">
        <v>222</v>
      </c>
      <c r="C16" s="47">
        <f t="shared" ca="1" si="0"/>
        <v>44438</v>
      </c>
      <c r="D16" s="48" t="str">
        <f t="shared" ca="1" si="1"/>
        <v>23:34:38</v>
      </c>
      <c r="E16" t="s">
        <v>223</v>
      </c>
    </row>
    <row r="17" spans="1:5">
      <c r="A17">
        <v>14</v>
      </c>
      <c r="B17" s="38" t="s">
        <v>224</v>
      </c>
      <c r="C17" s="47">
        <f t="shared" ca="1" si="0"/>
        <v>44293</v>
      </c>
      <c r="D17" s="48" t="str">
        <f t="shared" ca="1" si="1"/>
        <v>05:40:32</v>
      </c>
      <c r="E17" t="s">
        <v>225</v>
      </c>
    </row>
    <row r="18" spans="1:5">
      <c r="A18">
        <v>15</v>
      </c>
      <c r="B18" s="38" t="s">
        <v>226</v>
      </c>
      <c r="C18" s="47">
        <f t="shared" ca="1" si="0"/>
        <v>44056</v>
      </c>
      <c r="D18" s="48" t="str">
        <f t="shared" ca="1" si="1"/>
        <v>06:42:42</v>
      </c>
      <c r="E18" t="s">
        <v>227</v>
      </c>
    </row>
    <row r="19" spans="1:5">
      <c r="A19">
        <v>16</v>
      </c>
      <c r="B19" s="38" t="s">
        <v>228</v>
      </c>
      <c r="C19" s="47">
        <f t="shared" ca="1" si="0"/>
        <v>43884</v>
      </c>
      <c r="D19" s="48" t="str">
        <f t="shared" ca="1" si="1"/>
        <v>18:43:52</v>
      </c>
      <c r="E19" t="s">
        <v>223</v>
      </c>
    </row>
    <row r="20" spans="1:5">
      <c r="A20">
        <v>17</v>
      </c>
      <c r="B20" s="46" t="s">
        <v>222</v>
      </c>
      <c r="C20" s="47">
        <f t="shared" ca="1" si="0"/>
        <v>44403</v>
      </c>
      <c r="D20" s="48" t="str">
        <f t="shared" ca="1" si="1"/>
        <v>22:55:35</v>
      </c>
      <c r="E20" t="s">
        <v>225</v>
      </c>
    </row>
    <row r="21" spans="1:5">
      <c r="A21">
        <v>18</v>
      </c>
      <c r="B21" s="38" t="s">
        <v>224</v>
      </c>
      <c r="C21" s="47">
        <f t="shared" ca="1" si="0"/>
        <v>44562</v>
      </c>
      <c r="D21" s="48" t="str">
        <f t="shared" ca="1" si="1"/>
        <v>22:17:04</v>
      </c>
      <c r="E21" t="s">
        <v>227</v>
      </c>
    </row>
    <row r="22" spans="1:5">
      <c r="A22">
        <v>19</v>
      </c>
      <c r="B22" s="38" t="s">
        <v>226</v>
      </c>
      <c r="C22" s="47">
        <f t="shared" ca="1" si="0"/>
        <v>44055</v>
      </c>
      <c r="D22" s="48" t="str">
        <f t="shared" ca="1" si="1"/>
        <v>05:48:07</v>
      </c>
      <c r="E22" t="s">
        <v>223</v>
      </c>
    </row>
    <row r="23" spans="1:5">
      <c r="A23">
        <v>20</v>
      </c>
      <c r="B23" s="38" t="s">
        <v>228</v>
      </c>
      <c r="C23" s="47">
        <f t="shared" ca="1" si="0"/>
        <v>44487</v>
      </c>
      <c r="D23" s="48" t="str">
        <f t="shared" ca="1" si="1"/>
        <v>21:19:04</v>
      </c>
      <c r="E23" t="s">
        <v>225</v>
      </c>
    </row>
    <row r="24" spans="1:5">
      <c r="A24">
        <v>21</v>
      </c>
      <c r="B24" s="46" t="s">
        <v>222</v>
      </c>
      <c r="C24" s="47">
        <f t="shared" ca="1" si="0"/>
        <v>44416</v>
      </c>
      <c r="D24" s="48" t="str">
        <f t="shared" ca="1" si="1"/>
        <v>06:31:39</v>
      </c>
      <c r="E24" t="s">
        <v>227</v>
      </c>
    </row>
    <row r="25" spans="1:5">
      <c r="A25">
        <v>22</v>
      </c>
      <c r="B25" s="38" t="s">
        <v>224</v>
      </c>
      <c r="C25" s="47">
        <f t="shared" ca="1" si="0"/>
        <v>44326</v>
      </c>
      <c r="D25" s="48" t="str">
        <f t="shared" ca="1" si="1"/>
        <v>15:18:31</v>
      </c>
      <c r="E25" t="s">
        <v>223</v>
      </c>
    </row>
    <row r="26" spans="1:5">
      <c r="A26">
        <v>23</v>
      </c>
      <c r="B26" s="38" t="s">
        <v>226</v>
      </c>
      <c r="C26" s="47">
        <f t="shared" ca="1" si="0"/>
        <v>44323</v>
      </c>
      <c r="D26" s="48" t="str">
        <f t="shared" ca="1" si="1"/>
        <v>17:36:04</v>
      </c>
      <c r="E26" t="s">
        <v>225</v>
      </c>
    </row>
    <row r="27" spans="1:5">
      <c r="A27">
        <v>24</v>
      </c>
      <c r="B27" s="38" t="s">
        <v>228</v>
      </c>
      <c r="C27" s="47">
        <f t="shared" ca="1" si="0"/>
        <v>44271</v>
      </c>
      <c r="D27" s="48" t="str">
        <f t="shared" ca="1" si="1"/>
        <v>00:08:42</v>
      </c>
      <c r="E27" t="s">
        <v>227</v>
      </c>
    </row>
    <row r="28" spans="1:5">
      <c r="A28">
        <v>25</v>
      </c>
      <c r="B28" s="46" t="s">
        <v>222</v>
      </c>
      <c r="C28" s="47">
        <f t="shared" ca="1" si="0"/>
        <v>44070</v>
      </c>
      <c r="D28" s="48" t="str">
        <f t="shared" ca="1" si="1"/>
        <v>13:19:13</v>
      </c>
      <c r="E28" t="s">
        <v>223</v>
      </c>
    </row>
    <row r="29" spans="1:5">
      <c r="A29">
        <v>26</v>
      </c>
      <c r="B29" s="38" t="s">
        <v>224</v>
      </c>
      <c r="C29" s="47">
        <f t="shared" ca="1" si="0"/>
        <v>43838</v>
      </c>
      <c r="D29" s="48" t="str">
        <f t="shared" ca="1" si="1"/>
        <v>01:15:45</v>
      </c>
      <c r="E29" t="s">
        <v>225</v>
      </c>
    </row>
    <row r="30" spans="1:5">
      <c r="A30">
        <v>27</v>
      </c>
      <c r="B30" s="38" t="s">
        <v>226</v>
      </c>
      <c r="C30" s="47">
        <f t="shared" ca="1" si="0"/>
        <v>43915</v>
      </c>
      <c r="D30" s="48" t="str">
        <f t="shared" ca="1" si="1"/>
        <v>10:13:52</v>
      </c>
      <c r="E30" t="s">
        <v>227</v>
      </c>
    </row>
    <row r="31" spans="1:5">
      <c r="A31">
        <v>28</v>
      </c>
      <c r="B31" s="38" t="s">
        <v>228</v>
      </c>
      <c r="C31" s="47">
        <f t="shared" ca="1" si="0"/>
        <v>44234</v>
      </c>
      <c r="D31" s="48" t="str">
        <f t="shared" ca="1" si="1"/>
        <v>12:26:33</v>
      </c>
      <c r="E31" t="s">
        <v>223</v>
      </c>
    </row>
    <row r="32" spans="1:5">
      <c r="A32">
        <v>29</v>
      </c>
      <c r="B32" s="46" t="s">
        <v>222</v>
      </c>
      <c r="C32" s="47">
        <f t="shared" ca="1" si="0"/>
        <v>44487</v>
      </c>
      <c r="D32" s="48" t="str">
        <f t="shared" ca="1" si="1"/>
        <v>04:04:17</v>
      </c>
      <c r="E32" t="s">
        <v>225</v>
      </c>
    </row>
    <row r="33" spans="1:5">
      <c r="A33">
        <v>30</v>
      </c>
      <c r="B33" s="38" t="s">
        <v>224</v>
      </c>
      <c r="C33" s="47">
        <f t="shared" ca="1" si="0"/>
        <v>44201</v>
      </c>
      <c r="D33" s="48" t="str">
        <f t="shared" ca="1" si="1"/>
        <v>06:23:22</v>
      </c>
      <c r="E33" t="s">
        <v>227</v>
      </c>
    </row>
    <row r="34" spans="1:5">
      <c r="A34">
        <v>31</v>
      </c>
      <c r="B34" s="38" t="s">
        <v>226</v>
      </c>
      <c r="C34" s="47">
        <f t="shared" ca="1" si="0"/>
        <v>44064</v>
      </c>
      <c r="D34" s="48" t="str">
        <f t="shared" ca="1" si="1"/>
        <v>21:51:12</v>
      </c>
      <c r="E34" t="s">
        <v>223</v>
      </c>
    </row>
    <row r="35" spans="1:5">
      <c r="A35">
        <v>32</v>
      </c>
      <c r="B35" s="38" t="s">
        <v>228</v>
      </c>
      <c r="C35" s="47">
        <f t="shared" ca="1" si="0"/>
        <v>43979</v>
      </c>
      <c r="D35" s="48" t="str">
        <f t="shared" ca="1" si="1"/>
        <v>00:18:40</v>
      </c>
      <c r="E35" t="s">
        <v>225</v>
      </c>
    </row>
    <row r="36" spans="1:5">
      <c r="A36">
        <v>33</v>
      </c>
      <c r="B36" s="46" t="s">
        <v>222</v>
      </c>
      <c r="C36" s="47">
        <f t="shared" ca="1" si="0"/>
        <v>43841</v>
      </c>
      <c r="D36" s="48" t="str">
        <f t="shared" ca="1" si="1"/>
        <v>23:51:00</v>
      </c>
      <c r="E36" t="s">
        <v>227</v>
      </c>
    </row>
    <row r="37" spans="1:5">
      <c r="A37">
        <v>34</v>
      </c>
      <c r="B37" s="38" t="s">
        <v>224</v>
      </c>
      <c r="C37" s="47">
        <f t="shared" ca="1" si="0"/>
        <v>43892</v>
      </c>
      <c r="D37" s="48" t="str">
        <f t="shared" ca="1" si="1"/>
        <v>16:54:33</v>
      </c>
      <c r="E37" t="s">
        <v>223</v>
      </c>
    </row>
    <row r="38" spans="1:5">
      <c r="A38">
        <v>35</v>
      </c>
      <c r="B38" s="38" t="s">
        <v>226</v>
      </c>
      <c r="C38" s="47">
        <f t="shared" ca="1" si="0"/>
        <v>44243</v>
      </c>
      <c r="D38" s="48" t="str">
        <f t="shared" ca="1" si="1"/>
        <v>22:31:38</v>
      </c>
      <c r="E38" t="s">
        <v>225</v>
      </c>
    </row>
    <row r="39" spans="1:5">
      <c r="A39">
        <v>36</v>
      </c>
      <c r="B39" s="38" t="s">
        <v>228</v>
      </c>
      <c r="C39" s="47">
        <f t="shared" ca="1" si="0"/>
        <v>44248</v>
      </c>
      <c r="D39" s="48" t="str">
        <f t="shared" ca="1" si="1"/>
        <v>03:59:35</v>
      </c>
      <c r="E39" t="s">
        <v>227</v>
      </c>
    </row>
    <row r="40" spans="1:5">
      <c r="A40">
        <v>37</v>
      </c>
      <c r="B40" s="46" t="s">
        <v>222</v>
      </c>
      <c r="C40" s="47">
        <f t="shared" ca="1" si="0"/>
        <v>44374</v>
      </c>
      <c r="D40" s="48" t="str">
        <f t="shared" ca="1" si="1"/>
        <v>23:17:11</v>
      </c>
      <c r="E40" t="s">
        <v>223</v>
      </c>
    </row>
    <row r="41" spans="1:5">
      <c r="A41">
        <v>38</v>
      </c>
      <c r="B41" s="38" t="s">
        <v>224</v>
      </c>
      <c r="C41" s="47">
        <f t="shared" ca="1" si="0"/>
        <v>44047</v>
      </c>
      <c r="D41" s="48" t="str">
        <f t="shared" ca="1" si="1"/>
        <v>19:18:47</v>
      </c>
      <c r="E41" t="s">
        <v>225</v>
      </c>
    </row>
    <row r="42" spans="1:5">
      <c r="A42">
        <v>39</v>
      </c>
      <c r="B42" s="38" t="s">
        <v>226</v>
      </c>
      <c r="C42" s="47">
        <f t="shared" ca="1" si="0"/>
        <v>44045</v>
      </c>
      <c r="D42" s="48" t="str">
        <f t="shared" ca="1" si="1"/>
        <v>23:36:08</v>
      </c>
      <c r="E42" t="s">
        <v>227</v>
      </c>
    </row>
    <row r="43" spans="1:5">
      <c r="A43">
        <v>40</v>
      </c>
      <c r="B43" s="38" t="s">
        <v>228</v>
      </c>
      <c r="C43" s="47">
        <f t="shared" ca="1" si="0"/>
        <v>44078</v>
      </c>
      <c r="D43" s="48" t="str">
        <f t="shared" ca="1" si="1"/>
        <v>00:36:28</v>
      </c>
      <c r="E43" t="s">
        <v>223</v>
      </c>
    </row>
    <row r="44" spans="1:5">
      <c r="A44">
        <v>41</v>
      </c>
      <c r="B44" s="46" t="s">
        <v>222</v>
      </c>
      <c r="C44" s="47">
        <f t="shared" ca="1" si="0"/>
        <v>44186</v>
      </c>
      <c r="D44" s="48" t="str">
        <f t="shared" ca="1" si="1"/>
        <v>23:40:27</v>
      </c>
      <c r="E44" t="s">
        <v>225</v>
      </c>
    </row>
    <row r="45" spans="1:5">
      <c r="A45">
        <v>42</v>
      </c>
      <c r="B45" s="38" t="s">
        <v>224</v>
      </c>
      <c r="C45" s="47">
        <f t="shared" ca="1" si="0"/>
        <v>44077</v>
      </c>
      <c r="D45" s="48" t="str">
        <f t="shared" ca="1" si="1"/>
        <v>19:17:58</v>
      </c>
      <c r="E45" t="s">
        <v>227</v>
      </c>
    </row>
    <row r="46" spans="1:5">
      <c r="A46">
        <v>43</v>
      </c>
      <c r="B46" s="38" t="s">
        <v>226</v>
      </c>
      <c r="C46" s="47">
        <f t="shared" ca="1" si="0"/>
        <v>44010</v>
      </c>
      <c r="D46" s="48" t="str">
        <f t="shared" ca="1" si="1"/>
        <v>02:20:36</v>
      </c>
      <c r="E46" t="s">
        <v>223</v>
      </c>
    </row>
    <row r="47" spans="1:5">
      <c r="A47">
        <v>44</v>
      </c>
      <c r="B47" s="38" t="s">
        <v>228</v>
      </c>
      <c r="C47" s="47">
        <f t="shared" ca="1" si="0"/>
        <v>44242</v>
      </c>
      <c r="D47" s="48" t="str">
        <f t="shared" ca="1" si="1"/>
        <v>11:07:43</v>
      </c>
      <c r="E47" t="s">
        <v>225</v>
      </c>
    </row>
    <row r="48" spans="1:5">
      <c r="A48">
        <v>45</v>
      </c>
      <c r="B48" s="46" t="s">
        <v>222</v>
      </c>
      <c r="C48" s="47">
        <f t="shared" ca="1" si="0"/>
        <v>43911</v>
      </c>
      <c r="D48" s="48" t="str">
        <f t="shared" ca="1" si="1"/>
        <v>19:00:51</v>
      </c>
      <c r="E48" t="s">
        <v>227</v>
      </c>
    </row>
    <row r="49" spans="1:5">
      <c r="A49">
        <v>46</v>
      </c>
      <c r="B49" s="38" t="s">
        <v>224</v>
      </c>
      <c r="C49" s="47">
        <f t="shared" ca="1" si="0"/>
        <v>44265</v>
      </c>
      <c r="D49" s="48" t="str">
        <f t="shared" ca="1" si="1"/>
        <v>02:18:17</v>
      </c>
      <c r="E49" t="s">
        <v>223</v>
      </c>
    </row>
    <row r="50" spans="1:5">
      <c r="A50">
        <v>47</v>
      </c>
      <c r="B50" s="38" t="s">
        <v>226</v>
      </c>
      <c r="C50" s="47">
        <f t="shared" ca="1" si="0"/>
        <v>43940</v>
      </c>
      <c r="D50" s="48" t="str">
        <f t="shared" ca="1" si="1"/>
        <v>19:43:00</v>
      </c>
      <c r="E50" t="s">
        <v>225</v>
      </c>
    </row>
    <row r="51" spans="1:5">
      <c r="A51">
        <v>48</v>
      </c>
      <c r="B51" s="38" t="s">
        <v>228</v>
      </c>
      <c r="C51" s="47">
        <f t="shared" ca="1" si="0"/>
        <v>44029</v>
      </c>
      <c r="D51" s="48" t="str">
        <f t="shared" ca="1" si="1"/>
        <v>04:26:40</v>
      </c>
      <c r="E51" t="s">
        <v>227</v>
      </c>
    </row>
    <row r="52" spans="1:5">
      <c r="A52">
        <v>49</v>
      </c>
      <c r="B52" s="46" t="s">
        <v>222</v>
      </c>
      <c r="C52" s="47">
        <f t="shared" ca="1" si="0"/>
        <v>43875</v>
      </c>
      <c r="D52" s="48" t="str">
        <f t="shared" ca="1" si="1"/>
        <v>00:24:13</v>
      </c>
      <c r="E52" t="s">
        <v>223</v>
      </c>
    </row>
    <row r="53" spans="1:5">
      <c r="A53">
        <v>50</v>
      </c>
      <c r="B53" s="38" t="s">
        <v>224</v>
      </c>
      <c r="C53" s="47">
        <f t="shared" ca="1" si="0"/>
        <v>43858</v>
      </c>
      <c r="D53" s="48" t="str">
        <f t="shared" ca="1" si="1"/>
        <v>04:57:22</v>
      </c>
      <c r="E53" t="s">
        <v>225</v>
      </c>
    </row>
    <row r="54" spans="1:5">
      <c r="A54">
        <v>51</v>
      </c>
      <c r="B54" s="38" t="s">
        <v>226</v>
      </c>
      <c r="C54" s="47">
        <f t="shared" ca="1" si="0"/>
        <v>43911</v>
      </c>
      <c r="D54" s="48" t="str">
        <f t="shared" ca="1" si="1"/>
        <v>00:03:27</v>
      </c>
      <c r="E54" t="s">
        <v>227</v>
      </c>
    </row>
    <row r="55" spans="1:5">
      <c r="A55">
        <v>52</v>
      </c>
      <c r="B55" s="38" t="s">
        <v>228</v>
      </c>
      <c r="C55" s="47">
        <f t="shared" ca="1" si="0"/>
        <v>44424</v>
      </c>
      <c r="D55" s="48" t="str">
        <f t="shared" ca="1" si="1"/>
        <v>12:51:04</v>
      </c>
      <c r="E55" t="s">
        <v>223</v>
      </c>
    </row>
    <row r="56" spans="1:5">
      <c r="A56">
        <v>53</v>
      </c>
      <c r="B56" s="46" t="s">
        <v>222</v>
      </c>
      <c r="C56" s="47">
        <f t="shared" ca="1" si="0"/>
        <v>43994</v>
      </c>
      <c r="D56" s="48" t="str">
        <f t="shared" ca="1" si="1"/>
        <v>12:36:46</v>
      </c>
      <c r="E56" t="s">
        <v>225</v>
      </c>
    </row>
    <row r="57" spans="1:5">
      <c r="A57">
        <v>54</v>
      </c>
      <c r="B57" s="38" t="s">
        <v>224</v>
      </c>
      <c r="C57" s="47">
        <f t="shared" ca="1" si="0"/>
        <v>44543</v>
      </c>
      <c r="D57" s="48" t="str">
        <f t="shared" ca="1" si="1"/>
        <v>19:04:43</v>
      </c>
      <c r="E57" t="s">
        <v>227</v>
      </c>
    </row>
    <row r="58" spans="1:5">
      <c r="A58">
        <v>55</v>
      </c>
      <c r="B58" s="38" t="s">
        <v>226</v>
      </c>
      <c r="C58" s="47">
        <f t="shared" ca="1" si="0"/>
        <v>44314</v>
      </c>
      <c r="D58" s="48" t="str">
        <f t="shared" ca="1" si="1"/>
        <v>03:23:23</v>
      </c>
      <c r="E58" t="s">
        <v>223</v>
      </c>
    </row>
    <row r="59" spans="1:5">
      <c r="A59">
        <v>56</v>
      </c>
      <c r="B59" s="38" t="s">
        <v>228</v>
      </c>
      <c r="C59" s="47">
        <f t="shared" ca="1" si="0"/>
        <v>44467</v>
      </c>
      <c r="D59" s="48" t="str">
        <f t="shared" ca="1" si="1"/>
        <v>14:54:30</v>
      </c>
      <c r="E59" t="s">
        <v>225</v>
      </c>
    </row>
    <row r="60" spans="1:5">
      <c r="A60">
        <v>57</v>
      </c>
      <c r="B60" s="46" t="s">
        <v>222</v>
      </c>
      <c r="C60" s="47">
        <f t="shared" ca="1" si="0"/>
        <v>43876</v>
      </c>
      <c r="D60" s="48" t="str">
        <f t="shared" ca="1" si="1"/>
        <v>19:30:32</v>
      </c>
      <c r="E60" t="s">
        <v>227</v>
      </c>
    </row>
    <row r="61" spans="1:5">
      <c r="A61">
        <v>58</v>
      </c>
      <c r="B61" s="38" t="s">
        <v>224</v>
      </c>
      <c r="C61" s="47">
        <f t="shared" ca="1" si="0"/>
        <v>44179</v>
      </c>
      <c r="D61" s="48" t="str">
        <f t="shared" ca="1" si="1"/>
        <v>03:29:49</v>
      </c>
      <c r="E61" t="s">
        <v>223</v>
      </c>
    </row>
    <row r="62" spans="1:5">
      <c r="A62">
        <v>59</v>
      </c>
      <c r="B62" s="38" t="s">
        <v>226</v>
      </c>
      <c r="C62" s="47">
        <f t="shared" ca="1" si="0"/>
        <v>44524</v>
      </c>
      <c r="D62" s="48" t="str">
        <f t="shared" ca="1" si="1"/>
        <v>02:15:35</v>
      </c>
      <c r="E62" t="s">
        <v>225</v>
      </c>
    </row>
    <row r="63" spans="1:5">
      <c r="A63">
        <v>60</v>
      </c>
      <c r="B63" s="38" t="s">
        <v>228</v>
      </c>
      <c r="C63" s="47">
        <f t="shared" ca="1" si="0"/>
        <v>43981</v>
      </c>
      <c r="D63" s="48" t="str">
        <f t="shared" ca="1" si="1"/>
        <v>12:24:18</v>
      </c>
      <c r="E63" t="s">
        <v>227</v>
      </c>
    </row>
    <row r="64" spans="1:5">
      <c r="A64">
        <v>61</v>
      </c>
      <c r="B64" s="46" t="s">
        <v>222</v>
      </c>
      <c r="C64" s="47">
        <f t="shared" ca="1" si="0"/>
        <v>44257</v>
      </c>
      <c r="D64" s="48" t="str">
        <f t="shared" ca="1" si="1"/>
        <v>00:59:48</v>
      </c>
      <c r="E64" t="s">
        <v>223</v>
      </c>
    </row>
    <row r="65" spans="1:5">
      <c r="A65">
        <v>62</v>
      </c>
      <c r="B65" s="38" t="s">
        <v>224</v>
      </c>
      <c r="C65" s="47">
        <f t="shared" ca="1" si="0"/>
        <v>44461</v>
      </c>
      <c r="D65" s="48" t="str">
        <f t="shared" ca="1" si="1"/>
        <v>22:46:57</v>
      </c>
      <c r="E65" t="s">
        <v>225</v>
      </c>
    </row>
    <row r="66" spans="1:5">
      <c r="A66">
        <v>63</v>
      </c>
      <c r="B66" s="38" t="s">
        <v>226</v>
      </c>
      <c r="C66" s="47">
        <f t="shared" ca="1" si="0"/>
        <v>44351</v>
      </c>
      <c r="D66" s="48" t="str">
        <f t="shared" ca="1" si="1"/>
        <v>21:50:34</v>
      </c>
      <c r="E66" t="s">
        <v>227</v>
      </c>
    </row>
    <row r="67" spans="1:5">
      <c r="A67">
        <v>64</v>
      </c>
      <c r="B67" s="38" t="s">
        <v>228</v>
      </c>
      <c r="C67" s="47">
        <f t="shared" ca="1" si="0"/>
        <v>44131</v>
      </c>
      <c r="D67" s="48" t="str">
        <f t="shared" ca="1" si="1"/>
        <v>12:26:47</v>
      </c>
      <c r="E67" t="s">
        <v>223</v>
      </c>
    </row>
    <row r="68" spans="1:5">
      <c r="A68">
        <v>65</v>
      </c>
      <c r="B68" s="46" t="s">
        <v>222</v>
      </c>
      <c r="C68" s="47">
        <f t="shared" ca="1" si="0"/>
        <v>44343</v>
      </c>
      <c r="D68" s="48" t="str">
        <f t="shared" ca="1" si="1"/>
        <v>22:25:37</v>
      </c>
      <c r="E68" t="s">
        <v>225</v>
      </c>
    </row>
    <row r="69" spans="1:5">
      <c r="A69">
        <v>66</v>
      </c>
      <c r="B69" s="38" t="s">
        <v>224</v>
      </c>
      <c r="C69" s="47">
        <f t="shared" ref="C69:C103" ca="1" si="2">RANDBETWEEN(DATE(2020,1,1),DATE(2022,1,1))</f>
        <v>44141</v>
      </c>
      <c r="D69" s="48" t="str">
        <f t="shared" ref="D69:D103" ca="1" si="3">TEXT(RAND(),"HH:MM:SS")</f>
        <v>22:09:12</v>
      </c>
      <c r="E69" t="s">
        <v>227</v>
      </c>
    </row>
    <row r="70" spans="1:5">
      <c r="A70">
        <v>67</v>
      </c>
      <c r="B70" s="38" t="s">
        <v>226</v>
      </c>
      <c r="C70" s="47">
        <f t="shared" ca="1" si="2"/>
        <v>44308</v>
      </c>
      <c r="D70" s="48" t="str">
        <f t="shared" ca="1" si="3"/>
        <v>22:19:32</v>
      </c>
      <c r="E70" t="s">
        <v>223</v>
      </c>
    </row>
    <row r="71" spans="1:5">
      <c r="A71">
        <v>68</v>
      </c>
      <c r="B71" s="38" t="s">
        <v>228</v>
      </c>
      <c r="C71" s="47">
        <f t="shared" ca="1" si="2"/>
        <v>44065</v>
      </c>
      <c r="D71" s="48" t="str">
        <f t="shared" ca="1" si="3"/>
        <v>23:51:22</v>
      </c>
      <c r="E71" t="s">
        <v>225</v>
      </c>
    </row>
    <row r="72" spans="1:5">
      <c r="A72">
        <v>69</v>
      </c>
      <c r="B72" s="46" t="s">
        <v>222</v>
      </c>
      <c r="C72" s="47">
        <f t="shared" ca="1" si="2"/>
        <v>43983</v>
      </c>
      <c r="D72" s="48" t="str">
        <f t="shared" ca="1" si="3"/>
        <v>05:54:46</v>
      </c>
      <c r="E72" t="s">
        <v>227</v>
      </c>
    </row>
    <row r="73" spans="1:5">
      <c r="A73">
        <v>70</v>
      </c>
      <c r="B73" s="38" t="s">
        <v>224</v>
      </c>
      <c r="C73" s="47">
        <f t="shared" ca="1" si="2"/>
        <v>44377</v>
      </c>
      <c r="D73" s="48" t="str">
        <f t="shared" ca="1" si="3"/>
        <v>08:40:17</v>
      </c>
      <c r="E73" t="s">
        <v>223</v>
      </c>
    </row>
    <row r="74" spans="1:5">
      <c r="A74">
        <v>71</v>
      </c>
      <c r="B74" s="38" t="s">
        <v>226</v>
      </c>
      <c r="C74" s="47">
        <f t="shared" ca="1" si="2"/>
        <v>43934</v>
      </c>
      <c r="D74" s="48" t="str">
        <f t="shared" ca="1" si="3"/>
        <v>03:11:41</v>
      </c>
      <c r="E74" t="s">
        <v>225</v>
      </c>
    </row>
    <row r="75" spans="1:5">
      <c r="A75">
        <v>72</v>
      </c>
      <c r="B75" s="38" t="s">
        <v>228</v>
      </c>
      <c r="C75" s="47">
        <f t="shared" ca="1" si="2"/>
        <v>44137</v>
      </c>
      <c r="D75" s="48" t="str">
        <f t="shared" ca="1" si="3"/>
        <v>23:42:20</v>
      </c>
      <c r="E75" t="s">
        <v>227</v>
      </c>
    </row>
    <row r="76" spans="1:5">
      <c r="A76">
        <v>73</v>
      </c>
      <c r="B76" s="46" t="s">
        <v>222</v>
      </c>
      <c r="C76" s="47">
        <f t="shared" ca="1" si="2"/>
        <v>44053</v>
      </c>
      <c r="D76" s="48" t="str">
        <f t="shared" ca="1" si="3"/>
        <v>02:09:36</v>
      </c>
      <c r="E76" t="s">
        <v>223</v>
      </c>
    </row>
    <row r="77" spans="1:5">
      <c r="A77">
        <v>74</v>
      </c>
      <c r="B77" s="38" t="s">
        <v>224</v>
      </c>
      <c r="C77" s="47">
        <f t="shared" ca="1" si="2"/>
        <v>43972</v>
      </c>
      <c r="D77" s="48" t="str">
        <f t="shared" ca="1" si="3"/>
        <v>18:04:46</v>
      </c>
      <c r="E77" t="s">
        <v>225</v>
      </c>
    </row>
    <row r="78" spans="1:5">
      <c r="A78">
        <v>75</v>
      </c>
      <c r="B78" s="38" t="s">
        <v>226</v>
      </c>
      <c r="C78" s="47">
        <f t="shared" ca="1" si="2"/>
        <v>43988</v>
      </c>
      <c r="D78" s="48" t="str">
        <f t="shared" ca="1" si="3"/>
        <v>01:11:05</v>
      </c>
      <c r="E78" t="s">
        <v>227</v>
      </c>
    </row>
    <row r="79" spans="1:5">
      <c r="A79">
        <v>76</v>
      </c>
      <c r="B79" s="38" t="s">
        <v>228</v>
      </c>
      <c r="C79" s="47">
        <f t="shared" ca="1" si="2"/>
        <v>43871</v>
      </c>
      <c r="D79" s="48" t="str">
        <f t="shared" ca="1" si="3"/>
        <v>11:19:31</v>
      </c>
      <c r="E79" t="s">
        <v>223</v>
      </c>
    </row>
    <row r="80" spans="1:5">
      <c r="A80">
        <v>77</v>
      </c>
      <c r="B80" s="46" t="s">
        <v>222</v>
      </c>
      <c r="C80" s="47">
        <f t="shared" ca="1" si="2"/>
        <v>44075</v>
      </c>
      <c r="D80" s="48" t="str">
        <f t="shared" ca="1" si="3"/>
        <v>09:22:10</v>
      </c>
      <c r="E80" t="s">
        <v>225</v>
      </c>
    </row>
    <row r="81" spans="1:5">
      <c r="A81">
        <v>78</v>
      </c>
      <c r="B81" s="38" t="s">
        <v>224</v>
      </c>
      <c r="C81" s="47">
        <f t="shared" ca="1" si="2"/>
        <v>43849</v>
      </c>
      <c r="D81" s="48" t="str">
        <f t="shared" ca="1" si="3"/>
        <v>23:08:51</v>
      </c>
      <c r="E81" t="s">
        <v>227</v>
      </c>
    </row>
    <row r="82" spans="1:5">
      <c r="A82">
        <v>79</v>
      </c>
      <c r="B82" s="38" t="s">
        <v>226</v>
      </c>
      <c r="C82" s="47">
        <f t="shared" ca="1" si="2"/>
        <v>44232</v>
      </c>
      <c r="D82" s="48" t="str">
        <f t="shared" ca="1" si="3"/>
        <v>21:06:40</v>
      </c>
      <c r="E82" t="s">
        <v>223</v>
      </c>
    </row>
    <row r="83" spans="1:5">
      <c r="A83">
        <v>80</v>
      </c>
      <c r="B83" s="38" t="s">
        <v>228</v>
      </c>
      <c r="C83" s="47">
        <f t="shared" ca="1" si="2"/>
        <v>44059</v>
      </c>
      <c r="D83" s="48" t="str">
        <f t="shared" ca="1" si="3"/>
        <v>22:33:20</v>
      </c>
      <c r="E83" t="s">
        <v>225</v>
      </c>
    </row>
    <row r="84" spans="1:5">
      <c r="A84">
        <v>81</v>
      </c>
      <c r="B84" s="46" t="s">
        <v>222</v>
      </c>
      <c r="C84" s="47">
        <f t="shared" ca="1" si="2"/>
        <v>43943</v>
      </c>
      <c r="D84" s="48" t="str">
        <f t="shared" ca="1" si="3"/>
        <v>07:53:20</v>
      </c>
      <c r="E84" t="s">
        <v>227</v>
      </c>
    </row>
    <row r="85" spans="1:5">
      <c r="A85">
        <v>82</v>
      </c>
      <c r="B85" s="38" t="s">
        <v>224</v>
      </c>
      <c r="C85" s="47">
        <f t="shared" ca="1" si="2"/>
        <v>43844</v>
      </c>
      <c r="D85" s="48" t="str">
        <f t="shared" ca="1" si="3"/>
        <v>10:08:59</v>
      </c>
      <c r="E85" t="s">
        <v>223</v>
      </c>
    </row>
    <row r="86" spans="1:5">
      <c r="A86">
        <v>83</v>
      </c>
      <c r="B86" s="38" t="s">
        <v>226</v>
      </c>
      <c r="C86" s="47">
        <f t="shared" ca="1" si="2"/>
        <v>44505</v>
      </c>
      <c r="D86" s="48" t="str">
        <f t="shared" ca="1" si="3"/>
        <v>17:21:19</v>
      </c>
      <c r="E86" t="s">
        <v>225</v>
      </c>
    </row>
    <row r="87" spans="1:5">
      <c r="A87">
        <v>84</v>
      </c>
      <c r="B87" s="38" t="s">
        <v>228</v>
      </c>
      <c r="C87" s="47">
        <f t="shared" ca="1" si="2"/>
        <v>44359</v>
      </c>
      <c r="D87" s="48" t="str">
        <f t="shared" ca="1" si="3"/>
        <v>16:32:19</v>
      </c>
      <c r="E87" t="s">
        <v>227</v>
      </c>
    </row>
    <row r="88" spans="1:5">
      <c r="A88">
        <v>85</v>
      </c>
      <c r="B88" s="46" t="s">
        <v>222</v>
      </c>
      <c r="C88" s="47">
        <f t="shared" ca="1" si="2"/>
        <v>44328</v>
      </c>
      <c r="D88" s="48" t="str">
        <f t="shared" ca="1" si="3"/>
        <v>20:41:21</v>
      </c>
      <c r="E88" t="s">
        <v>223</v>
      </c>
    </row>
    <row r="89" spans="1:5">
      <c r="A89">
        <v>86</v>
      </c>
      <c r="B89" s="38" t="s">
        <v>224</v>
      </c>
      <c r="C89" s="47">
        <f t="shared" ca="1" si="2"/>
        <v>43976</v>
      </c>
      <c r="D89" s="48" t="str">
        <f t="shared" ca="1" si="3"/>
        <v>23:39:55</v>
      </c>
      <c r="E89" t="s">
        <v>225</v>
      </c>
    </row>
    <row r="90" spans="1:5">
      <c r="A90">
        <v>87</v>
      </c>
      <c r="B90" s="38" t="s">
        <v>226</v>
      </c>
      <c r="C90" s="47">
        <f t="shared" ca="1" si="2"/>
        <v>44167</v>
      </c>
      <c r="D90" s="48" t="str">
        <f t="shared" ca="1" si="3"/>
        <v>18:15:18</v>
      </c>
      <c r="E90" t="s">
        <v>227</v>
      </c>
    </row>
    <row r="91" spans="1:5">
      <c r="A91">
        <v>88</v>
      </c>
      <c r="B91" s="38" t="s">
        <v>228</v>
      </c>
      <c r="C91" s="47">
        <f t="shared" ca="1" si="2"/>
        <v>43854</v>
      </c>
      <c r="D91" s="48" t="str">
        <f t="shared" ca="1" si="3"/>
        <v>23:30:38</v>
      </c>
      <c r="E91" t="s">
        <v>223</v>
      </c>
    </row>
    <row r="92" spans="1:5">
      <c r="A92">
        <v>89</v>
      </c>
      <c r="B92" s="46" t="s">
        <v>222</v>
      </c>
      <c r="C92" s="47">
        <f t="shared" ca="1" si="2"/>
        <v>44108</v>
      </c>
      <c r="D92" s="48" t="str">
        <f t="shared" ca="1" si="3"/>
        <v>16:47:07</v>
      </c>
      <c r="E92" t="s">
        <v>225</v>
      </c>
    </row>
    <row r="93" spans="1:5">
      <c r="A93">
        <v>90</v>
      </c>
      <c r="B93" s="38" t="s">
        <v>224</v>
      </c>
      <c r="C93" s="47">
        <f t="shared" ca="1" si="2"/>
        <v>44155</v>
      </c>
      <c r="D93" s="48" t="str">
        <f t="shared" ca="1" si="3"/>
        <v>23:27:27</v>
      </c>
      <c r="E93" t="s">
        <v>227</v>
      </c>
    </row>
    <row r="94" spans="1:5">
      <c r="A94">
        <v>91</v>
      </c>
      <c r="B94" s="38" t="s">
        <v>226</v>
      </c>
      <c r="C94" s="47">
        <f t="shared" ca="1" si="2"/>
        <v>44276</v>
      </c>
      <c r="D94" s="48" t="str">
        <f t="shared" ca="1" si="3"/>
        <v>16:08:47</v>
      </c>
      <c r="E94" t="s">
        <v>223</v>
      </c>
    </row>
    <row r="95" spans="1:5">
      <c r="A95">
        <v>92</v>
      </c>
      <c r="B95" s="38" t="s">
        <v>228</v>
      </c>
      <c r="C95" s="47">
        <f t="shared" ca="1" si="2"/>
        <v>44549</v>
      </c>
      <c r="D95" s="48" t="str">
        <f t="shared" ca="1" si="3"/>
        <v>15:45:35</v>
      </c>
      <c r="E95" t="s">
        <v>225</v>
      </c>
    </row>
    <row r="96" spans="1:5">
      <c r="A96">
        <v>93</v>
      </c>
      <c r="B96" s="46" t="s">
        <v>222</v>
      </c>
      <c r="C96" s="47">
        <f t="shared" ca="1" si="2"/>
        <v>44087</v>
      </c>
      <c r="D96" s="48" t="str">
        <f t="shared" ca="1" si="3"/>
        <v>21:30:27</v>
      </c>
      <c r="E96" t="s">
        <v>227</v>
      </c>
    </row>
    <row r="97" spans="1:5">
      <c r="A97">
        <v>94</v>
      </c>
      <c r="B97" s="38" t="s">
        <v>224</v>
      </c>
      <c r="C97" s="47">
        <f t="shared" ca="1" si="2"/>
        <v>44504</v>
      </c>
      <c r="D97" s="48" t="str">
        <f t="shared" ca="1" si="3"/>
        <v>11:44:48</v>
      </c>
      <c r="E97" t="s">
        <v>223</v>
      </c>
    </row>
    <row r="98" spans="1:5">
      <c r="A98">
        <v>95</v>
      </c>
      <c r="B98" s="38" t="s">
        <v>226</v>
      </c>
      <c r="C98" s="47">
        <f t="shared" ca="1" si="2"/>
        <v>43923</v>
      </c>
      <c r="D98" s="48" t="str">
        <f t="shared" ca="1" si="3"/>
        <v>01:56:47</v>
      </c>
      <c r="E98" t="s">
        <v>225</v>
      </c>
    </row>
    <row r="99" spans="1:5">
      <c r="A99">
        <v>96</v>
      </c>
      <c r="B99" s="38" t="s">
        <v>228</v>
      </c>
      <c r="C99" s="47">
        <f t="shared" ca="1" si="2"/>
        <v>43844</v>
      </c>
      <c r="D99" s="48" t="str">
        <f t="shared" ca="1" si="3"/>
        <v>03:09:45</v>
      </c>
      <c r="E99" t="s">
        <v>227</v>
      </c>
    </row>
    <row r="100" spans="1:5">
      <c r="A100">
        <v>97</v>
      </c>
      <c r="B100" s="46" t="s">
        <v>222</v>
      </c>
      <c r="C100" s="47">
        <f t="shared" ca="1" si="2"/>
        <v>44005</v>
      </c>
      <c r="D100" s="48" t="str">
        <f t="shared" ca="1" si="3"/>
        <v>18:45:07</v>
      </c>
      <c r="E100" t="s">
        <v>223</v>
      </c>
    </row>
    <row r="101" spans="1:5">
      <c r="A101">
        <v>98</v>
      </c>
      <c r="B101" s="38" t="s">
        <v>224</v>
      </c>
      <c r="C101" s="47">
        <f t="shared" ca="1" si="2"/>
        <v>44197</v>
      </c>
      <c r="D101" s="48" t="str">
        <f t="shared" ca="1" si="3"/>
        <v>19:26:33</v>
      </c>
      <c r="E101" t="s">
        <v>225</v>
      </c>
    </row>
    <row r="102" spans="1:5">
      <c r="A102">
        <v>99</v>
      </c>
      <c r="B102" s="38" t="s">
        <v>226</v>
      </c>
      <c r="C102" s="47">
        <f t="shared" ca="1" si="2"/>
        <v>44517</v>
      </c>
      <c r="D102" s="48" t="str">
        <f t="shared" ca="1" si="3"/>
        <v>07:35:38</v>
      </c>
      <c r="E102" t="s">
        <v>227</v>
      </c>
    </row>
    <row r="103" spans="1:5">
      <c r="A103">
        <v>100</v>
      </c>
      <c r="B103" s="38" t="s">
        <v>228</v>
      </c>
      <c r="C103" s="47">
        <f t="shared" ca="1" si="2"/>
        <v>44328</v>
      </c>
      <c r="D103" s="48" t="str">
        <f t="shared" ca="1" si="3"/>
        <v>05:21:45</v>
      </c>
      <c r="E103" t="s">
        <v>223</v>
      </c>
    </row>
    <row r="104" spans="1:5">
      <c r="D104" s="48"/>
    </row>
    <row r="105" spans="1:5">
      <c r="D105" s="48"/>
    </row>
  </sheetData>
  <mergeCells count="1">
    <mergeCell ref="A2:E2"/>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558CEE-5197-4158-A0CB-CCC7DEE65D1A}">
  <sheetPr codeName="Baseline"/>
  <dimension ref="A1:R19"/>
  <sheetViews>
    <sheetView showGridLines="0" topLeftCell="F1" zoomScale="90" zoomScaleNormal="90" workbookViewId="0">
      <selection activeCell="T14" sqref="Q3:T14"/>
    </sheetView>
  </sheetViews>
  <sheetFormatPr defaultRowHeight="17.25"/>
  <cols>
    <col min="1" max="1" width="16.875" bestFit="1" customWidth="1"/>
    <col min="2" max="2" width="12.125" bestFit="1" customWidth="1"/>
    <col min="3" max="3" width="11.125" bestFit="1" customWidth="1"/>
    <col min="4" max="4" width="1" style="72" customWidth="1"/>
    <col min="5" max="5" width="13" bestFit="1" customWidth="1"/>
    <col min="6" max="6" width="13.75" bestFit="1" customWidth="1"/>
    <col min="7" max="7" width="1.625" style="72" customWidth="1"/>
    <col min="8" max="8" width="17.625" bestFit="1" customWidth="1"/>
    <col min="9" max="9" width="16.375" bestFit="1" customWidth="1"/>
    <col min="10" max="10" width="6.875" bestFit="1" customWidth="1"/>
    <col min="11" max="11" width="5.875" bestFit="1" customWidth="1"/>
    <col min="12" max="12" width="6.75" bestFit="1" customWidth="1"/>
    <col min="13" max="13" width="1.625" style="72" customWidth="1"/>
    <col min="14" max="14" width="13.625" bestFit="1" customWidth="1"/>
    <col min="15" max="15" width="15.625" bestFit="1" customWidth="1"/>
    <col min="16" max="16" width="1.75" style="72" customWidth="1"/>
    <col min="17" max="17" width="15.625" bestFit="1" customWidth="1"/>
    <col min="18" max="18" width="16.375" bestFit="1" customWidth="1"/>
    <col min="19" max="19" width="7.875" bestFit="1" customWidth="1"/>
    <col min="20" max="20" width="11.75" bestFit="1" customWidth="1"/>
    <col min="21" max="182" width="14.75" bestFit="1" customWidth="1"/>
    <col min="183" max="183" width="13.375" bestFit="1" customWidth="1"/>
    <col min="184" max="184" width="12.625" bestFit="1" customWidth="1"/>
    <col min="185" max="185" width="11.375" bestFit="1" customWidth="1"/>
  </cols>
  <sheetData>
    <row r="1" spans="1:18">
      <c r="A1" t="s">
        <v>229</v>
      </c>
      <c r="E1" t="s">
        <v>230</v>
      </c>
    </row>
    <row r="2" spans="1:18">
      <c r="R2" t="s">
        <v>231</v>
      </c>
    </row>
    <row r="3" spans="1:18">
      <c r="A3" s="57" t="s">
        <v>3</v>
      </c>
      <c r="B3" s="57" t="s">
        <v>232</v>
      </c>
      <c r="E3" s="57" t="s">
        <v>6</v>
      </c>
      <c r="F3" t="s">
        <v>233</v>
      </c>
      <c r="H3" s="57" t="s">
        <v>234</v>
      </c>
      <c r="I3" s="76" t="s">
        <v>235</v>
      </c>
      <c r="N3" s="57" t="s">
        <v>236</v>
      </c>
      <c r="O3" t="s">
        <v>237</v>
      </c>
    </row>
    <row r="4" spans="1:18">
      <c r="A4" s="57" t="s">
        <v>23</v>
      </c>
      <c r="B4" t="s">
        <v>7</v>
      </c>
      <c r="C4" t="s">
        <v>8</v>
      </c>
      <c r="E4" s="6" t="s">
        <v>95</v>
      </c>
      <c r="F4">
        <v>4</v>
      </c>
      <c r="H4" s="57" t="s">
        <v>238</v>
      </c>
      <c r="I4" t="s">
        <v>219</v>
      </c>
      <c r="J4" t="s">
        <v>217</v>
      </c>
      <c r="K4" t="s">
        <v>218</v>
      </c>
      <c r="L4" t="s">
        <v>215</v>
      </c>
      <c r="N4" s="6" t="s">
        <v>219</v>
      </c>
      <c r="O4">
        <v>818229</v>
      </c>
    </row>
    <row r="5" spans="1:18">
      <c r="A5" s="6" t="s">
        <v>239</v>
      </c>
      <c r="B5" s="60"/>
      <c r="C5" s="60">
        <v>92966</v>
      </c>
      <c r="E5" s="6" t="s">
        <v>91</v>
      </c>
      <c r="F5">
        <v>4</v>
      </c>
      <c r="H5" s="6" t="s">
        <v>240</v>
      </c>
      <c r="J5">
        <v>156294</v>
      </c>
      <c r="N5" s="6" t="s">
        <v>217</v>
      </c>
      <c r="O5">
        <v>683497</v>
      </c>
    </row>
    <row r="6" spans="1:18">
      <c r="A6" s="6" t="s">
        <v>10</v>
      </c>
      <c r="B6" s="60">
        <v>80716</v>
      </c>
      <c r="C6" s="60"/>
      <c r="E6" s="6" t="s">
        <v>99</v>
      </c>
      <c r="F6">
        <v>3</v>
      </c>
      <c r="H6" s="6" t="s">
        <v>241</v>
      </c>
      <c r="I6">
        <v>96339</v>
      </c>
      <c r="K6">
        <v>86784</v>
      </c>
      <c r="N6" s="6" t="s">
        <v>218</v>
      </c>
      <c r="O6">
        <v>340361</v>
      </c>
    </row>
    <row r="7" spans="1:18">
      <c r="A7" s="6" t="s">
        <v>11</v>
      </c>
      <c r="B7" s="60">
        <v>175919</v>
      </c>
      <c r="C7" s="60"/>
      <c r="E7" s="6" t="s">
        <v>29</v>
      </c>
      <c r="F7">
        <v>3</v>
      </c>
      <c r="H7" s="6" t="s">
        <v>242</v>
      </c>
      <c r="I7">
        <v>99755</v>
      </c>
      <c r="J7">
        <v>97726</v>
      </c>
      <c r="L7">
        <v>91449</v>
      </c>
      <c r="N7" s="6" t="s">
        <v>215</v>
      </c>
      <c r="O7">
        <v>359623</v>
      </c>
    </row>
    <row r="8" spans="1:18">
      <c r="A8" s="6" t="s">
        <v>12</v>
      </c>
      <c r="B8" s="60">
        <v>266887</v>
      </c>
      <c r="C8" s="60"/>
      <c r="E8" s="6" t="s">
        <v>243</v>
      </c>
      <c r="F8">
        <v>14</v>
      </c>
      <c r="H8" s="6" t="s">
        <v>244</v>
      </c>
      <c r="I8">
        <v>93530</v>
      </c>
    </row>
    <row r="9" spans="1:18">
      <c r="A9" s="6" t="s">
        <v>13</v>
      </c>
      <c r="B9" s="60">
        <v>186072</v>
      </c>
      <c r="C9" s="60">
        <v>90784</v>
      </c>
      <c r="H9" s="6" t="s">
        <v>245</v>
      </c>
      <c r="K9">
        <v>91953</v>
      </c>
      <c r="L9">
        <v>76690</v>
      </c>
    </row>
    <row r="10" spans="1:18">
      <c r="A10" s="6" t="s">
        <v>246</v>
      </c>
      <c r="B10" s="60">
        <v>75271</v>
      </c>
      <c r="C10" s="60"/>
      <c r="H10" s="6" t="s">
        <v>247</v>
      </c>
      <c r="J10">
        <v>154776</v>
      </c>
      <c r="K10">
        <v>80120</v>
      </c>
    </row>
    <row r="11" spans="1:18">
      <c r="A11" s="6" t="s">
        <v>15</v>
      </c>
      <c r="B11" s="60">
        <v>150892</v>
      </c>
      <c r="C11" s="60">
        <v>87197</v>
      </c>
      <c r="H11" s="6" t="s">
        <v>248</v>
      </c>
      <c r="J11">
        <v>88013</v>
      </c>
    </row>
    <row r="12" spans="1:18">
      <c r="H12" s="6" t="s">
        <v>249</v>
      </c>
      <c r="J12">
        <v>89677</v>
      </c>
    </row>
    <row r="13" spans="1:18">
      <c r="H13" s="6" t="s">
        <v>250</v>
      </c>
      <c r="K13">
        <v>81504</v>
      </c>
    </row>
    <row r="14" spans="1:18">
      <c r="H14" s="6" t="s">
        <v>251</v>
      </c>
      <c r="I14">
        <v>99161</v>
      </c>
      <c r="L14">
        <v>95150</v>
      </c>
    </row>
    <row r="15" spans="1:18">
      <c r="H15" s="6" t="s">
        <v>252</v>
      </c>
      <c r="I15">
        <v>97252</v>
      </c>
    </row>
    <row r="16" spans="1:18">
      <c r="H16" s="6" t="s">
        <v>253</v>
      </c>
      <c r="I16">
        <v>77004</v>
      </c>
    </row>
    <row r="17" spans="8:12">
      <c r="H17" s="6" t="s">
        <v>254</v>
      </c>
      <c r="I17">
        <v>77236</v>
      </c>
      <c r="J17">
        <v>97011</v>
      </c>
    </row>
    <row r="18" spans="8:12">
      <c r="H18" s="6" t="s">
        <v>255</v>
      </c>
      <c r="I18">
        <v>91640</v>
      </c>
      <c r="L18">
        <v>96334</v>
      </c>
    </row>
    <row r="19" spans="8:12">
      <c r="H19" s="6" t="s">
        <v>256</v>
      </c>
      <c r="I19">
        <v>86312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B56BBA-B37B-435B-8E40-3FB03698A7BB}">
  <sheetPr codeName="AttachDB"/>
  <dimension ref="A1:O3"/>
  <sheetViews>
    <sheetView showGridLines="0" workbookViewId="0">
      <selection activeCell="L9" sqref="L9"/>
    </sheetView>
  </sheetViews>
  <sheetFormatPr defaultRowHeight="17.25"/>
  <cols>
    <col min="1" max="1" width="10.875" customWidth="1"/>
    <col min="2" max="2" width="13.75" customWidth="1"/>
    <col min="3" max="3" width="9.25" customWidth="1"/>
    <col min="4" max="4" width="11" customWidth="1"/>
    <col min="5" max="5" width="18.5" customWidth="1"/>
    <col min="6" max="6" width="8.375" customWidth="1"/>
    <col min="8" max="8" width="4.125" customWidth="1"/>
    <col min="9" max="9" width="9" hidden="1" customWidth="1"/>
    <col min="10" max="10" width="1.75" customWidth="1"/>
    <col min="11" max="11" width="10.25" customWidth="1"/>
  </cols>
  <sheetData>
    <row r="1" spans="1:15">
      <c r="A1" s="26" t="s">
        <v>257</v>
      </c>
      <c r="B1" s="26" t="s">
        <v>20</v>
      </c>
      <c r="C1" s="26" t="s">
        <v>38</v>
      </c>
      <c r="D1" s="26" t="s">
        <v>53</v>
      </c>
      <c r="E1" s="26" t="s">
        <v>258</v>
      </c>
      <c r="K1" s="100" t="s">
        <v>259</v>
      </c>
      <c r="L1" s="100"/>
      <c r="M1" s="100"/>
      <c r="O1" s="27" t="s">
        <v>260</v>
      </c>
    </row>
    <row r="2" spans="1:15">
      <c r="K2" s="28" t="s">
        <v>20</v>
      </c>
      <c r="L2" s="28" t="s">
        <v>38</v>
      </c>
      <c r="M2" s="28" t="s">
        <v>53</v>
      </c>
      <c r="O2" s="28" t="s">
        <v>258</v>
      </c>
    </row>
    <row r="3" spans="1:15">
      <c r="K3">
        <v>2</v>
      </c>
    </row>
  </sheetData>
  <mergeCells count="1">
    <mergeCell ref="K1:M1"/>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FEC3DB2A6F91B84CAEDEE18142347548" ma:contentTypeVersion="13" ma:contentTypeDescription="Create a new document." ma:contentTypeScope="" ma:versionID="e6fbbeca46356d1b344327b9ed5c9538">
  <xsd:schema xmlns:xsd="http://www.w3.org/2001/XMLSchema" xmlns:xs="http://www.w3.org/2001/XMLSchema" xmlns:p="http://schemas.microsoft.com/office/2006/metadata/properties" xmlns:ns3="1de9ee4e-d8a3-48a0-b8f7-96b098e11198" xmlns:ns4="fcee8ca0-747c-4305-a53f-ffefe4d40f86" targetNamespace="http://schemas.microsoft.com/office/2006/metadata/properties" ma:root="true" ma:fieldsID="7387fcd5795a82addc949d4dfe7acb00" ns3:_="" ns4:_="">
    <xsd:import namespace="1de9ee4e-d8a3-48a0-b8f7-96b098e11198"/>
    <xsd:import namespace="fcee8ca0-747c-4305-a53f-ffefe4d40f86"/>
    <xsd:element name="properties">
      <xsd:complexType>
        <xsd:sequence>
          <xsd:element name="documentManagement">
            <xsd:complexType>
              <xsd:all>
                <xsd:element ref="ns3:MediaServiceMetadata" minOccurs="0"/>
                <xsd:element ref="ns3:MediaServiceFastMetadata" minOccurs="0"/>
                <xsd:element ref="ns3:MediaServiceAutoKeyPoints" minOccurs="0"/>
                <xsd:element ref="ns3:MediaServiceKeyPoints" minOccurs="0"/>
                <xsd:element ref="ns4:SharedWithUsers" minOccurs="0"/>
                <xsd:element ref="ns4:SharedWithDetails" minOccurs="0"/>
                <xsd:element ref="ns4:SharingHintHash" minOccurs="0"/>
                <xsd:element ref="ns3:MediaServiceAutoTags" minOccurs="0"/>
                <xsd:element ref="ns3:MediaServiceOCR" minOccurs="0"/>
                <xsd:element ref="ns3:MediaServiceGenerationTime" minOccurs="0"/>
                <xsd:element ref="ns3:MediaServiceEventHashCode" minOccurs="0"/>
                <xsd:element ref="ns3:MediaServiceDateTaken"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de9ee4e-d8a3-48a0-b8f7-96b098e1119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5" nillable="true" ma:displayName="Tags" ma:internalName="MediaServiceAutoTags"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DateTaken" ma:index="19" nillable="true" ma:displayName="MediaServiceDateTaken" ma:hidden="true" ma:internalName="MediaServiceDateTake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fcee8ca0-747c-4305-a53f-ffefe4d40f86"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SharingHintHash" ma:index="14"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8E477AC-32DB-46A9-AF89-1BD0A7794ECC}"/>
</file>

<file path=customXml/itemProps2.xml><?xml version="1.0" encoding="utf-8"?>
<ds:datastoreItem xmlns:ds="http://schemas.openxmlformats.org/officeDocument/2006/customXml" ds:itemID="{BBCAA344-C905-43C3-B910-F705199E6283}"/>
</file>

<file path=customXml/itemProps3.xml><?xml version="1.0" encoding="utf-8"?>
<ds:datastoreItem xmlns:ds="http://schemas.openxmlformats.org/officeDocument/2006/customXml" ds:itemID="{71035B0F-B922-414A-AE13-218B5EEEDF09}"/>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Veronicah Nanjala</dc:creator>
  <cp:keywords/>
  <dc:description/>
  <cp:lastModifiedBy/>
  <cp:revision/>
  <dcterms:created xsi:type="dcterms:W3CDTF">2021-12-15T08:26:37Z</dcterms:created>
  <dcterms:modified xsi:type="dcterms:W3CDTF">2022-01-11T08:26:21Z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3" name="ContentTypeId">
    <vt:lpwstr>0x010100FEC3DB2A6F91B84CAEDEE18142347548</vt:lpwstr>
  </property>
  <property fmtid="{D5CDD505-2E9C-101B-9397-08002B2CF9AE}" pid="17" name="ID" linkTarget="Prop_ID">
    <vt:r8>2</vt:r8>
  </property>
  <property fmtid="{D5CDD505-2E9C-101B-9397-08002B2CF9AE}" pid="18" name="Name" linkTarget="Prop_Name">
    <vt:lpwstr>#VALUE!</vt:lpwstr>
  </property>
</Properties>
</file>